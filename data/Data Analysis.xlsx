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tyofsussex-my.sharepoint.com/personal/gk293_sussex_ac_uk/Documents/Dissertation Files/"/>
    </mc:Choice>
  </mc:AlternateContent>
  <xr:revisionPtr revIDLastSave="979" documentId="13_ncr:1_{08EA01AB-AF28-43B1-8B23-4A9376339D5D}" xr6:coauthVersionLast="47" xr6:coauthVersionMax="47" xr10:uidLastSave="{4784E68F-6DCD-485F-9325-28B6D5E843FF}"/>
  <bookViews>
    <workbookView xWindow="-108" yWindow="-108" windowWidth="30936" windowHeight="16896" firstSheet="6" activeTab="8" xr2:uid="{E8C1C976-4A56-4C6F-BBA6-74D15501659B}"/>
  </bookViews>
  <sheets>
    <sheet name="Species &amp; Habitats" sheetId="2" r:id="rId1"/>
    <sheet name="Species Binomial" sheetId="18" r:id="rId2"/>
    <sheet name="Specialist-Generalist" sheetId="19" r:id="rId3"/>
    <sheet name="Habitat Variables" sheetId="10" r:id="rId4"/>
    <sheet name="Best Fit Species" sheetId="27" r:id="rId5"/>
    <sheet name="Species &amp; Characteristics" sheetId="15" r:id="rId6"/>
    <sheet name="Sheet2" sheetId="22" r:id="rId7"/>
    <sheet name="NewVariables" sheetId="23" r:id="rId8"/>
    <sheet name="Char &amp; Abun" sheetId="21" r:id="rId9"/>
    <sheet name="Sheet1" sheetId="20" r:id="rId10"/>
    <sheet name="Diversity &amp; Evenness" sheetId="3" r:id="rId11"/>
    <sheet name="Similarity" sheetId="16" r:id="rId12"/>
    <sheet name="Land Use" sheetId="17" r:id="rId13"/>
    <sheet name="Tables" sheetId="28" r:id="rId14"/>
    <sheet name="Variable Comparison" sheetId="24" r:id="rId15"/>
    <sheet name="Sheet4" sheetId="26" r:id="rId16"/>
  </sheets>
  <definedNames>
    <definedName name="_xlnm._FilterDatabase" localSheetId="10" hidden="1">'Diversity &amp; Evenness'!$A$1:$D$1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8" i="16" l="1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AE15" i="16"/>
  <c r="AD15" i="16"/>
  <c r="AC15" i="16"/>
  <c r="AB15" i="16"/>
  <c r="AA15" i="16"/>
  <c r="Z15" i="16"/>
  <c r="Y15" i="16"/>
  <c r="X15" i="16"/>
  <c r="W15" i="16"/>
  <c r="V15" i="16"/>
  <c r="U15" i="16"/>
  <c r="T15" i="16"/>
  <c r="AD14" i="16"/>
  <c r="AC14" i="16"/>
  <c r="AB14" i="16"/>
  <c r="AA14" i="16"/>
  <c r="Z14" i="16"/>
  <c r="Y14" i="16"/>
  <c r="X14" i="16"/>
  <c r="W14" i="16"/>
  <c r="V14" i="16"/>
  <c r="U14" i="16"/>
  <c r="T14" i="16"/>
  <c r="AC13" i="16"/>
  <c r="AB13" i="16"/>
  <c r="AA13" i="16"/>
  <c r="Z13" i="16"/>
  <c r="Y13" i="16"/>
  <c r="X13" i="16"/>
  <c r="W13" i="16"/>
  <c r="V13" i="16"/>
  <c r="U13" i="16"/>
  <c r="T13" i="16"/>
  <c r="AB12" i="16"/>
  <c r="AA12" i="16"/>
  <c r="Z12" i="16"/>
  <c r="Y12" i="16"/>
  <c r="X12" i="16"/>
  <c r="W12" i="16"/>
  <c r="V12" i="16"/>
  <c r="U12" i="16"/>
  <c r="T12" i="16"/>
  <c r="AA11" i="16"/>
  <c r="Z11" i="16"/>
  <c r="Y11" i="16"/>
  <c r="X11" i="16"/>
  <c r="W11" i="16"/>
  <c r="V11" i="16"/>
  <c r="U11" i="16"/>
  <c r="T11" i="16"/>
  <c r="Z10" i="16"/>
  <c r="Y10" i="16"/>
  <c r="X10" i="16"/>
  <c r="W10" i="16"/>
  <c r="V10" i="16"/>
  <c r="U10" i="16"/>
  <c r="T10" i="16"/>
  <c r="Y9" i="16"/>
  <c r="X9" i="16"/>
  <c r="W9" i="16"/>
  <c r="V9" i="16"/>
  <c r="U9" i="16"/>
  <c r="T9" i="16"/>
  <c r="X8" i="16"/>
  <c r="W8" i="16"/>
  <c r="V8" i="16"/>
  <c r="U8" i="16"/>
  <c r="T8" i="16"/>
  <c r="W7" i="16"/>
  <c r="V7" i="16"/>
  <c r="U7" i="16"/>
  <c r="T7" i="16"/>
  <c r="V6" i="16"/>
  <c r="U6" i="16"/>
  <c r="T6" i="16"/>
  <c r="U5" i="16"/>
  <c r="T5" i="16"/>
  <c r="T4" i="16"/>
  <c r="D19" i="3"/>
  <c r="D20" i="3"/>
  <c r="D23" i="3"/>
  <c r="D25" i="3"/>
  <c r="D26" i="3"/>
  <c r="D27" i="3"/>
  <c r="D28" i="3"/>
  <c r="D29" i="3"/>
  <c r="D30" i="3"/>
  <c r="D31" i="3"/>
  <c r="D32" i="3"/>
  <c r="D33" i="3"/>
  <c r="D18" i="3"/>
</calcChain>
</file>

<file path=xl/sharedStrings.xml><?xml version="1.0" encoding="utf-8"?>
<sst xmlns="http://schemas.openxmlformats.org/spreadsheetml/2006/main" count="1651" uniqueCount="295">
  <si>
    <t>Species</t>
  </si>
  <si>
    <t>Evergreen</t>
  </si>
  <si>
    <t>Deciduous</t>
  </si>
  <si>
    <t>OliveGrove</t>
  </si>
  <si>
    <t>Maquis</t>
  </si>
  <si>
    <t>Agricultural</t>
  </si>
  <si>
    <t>Dunes</t>
  </si>
  <si>
    <t>Marshlands</t>
  </si>
  <si>
    <t>LowlandRiver</t>
  </si>
  <si>
    <t>HighlandRiver</t>
  </si>
  <si>
    <t>Lagoon</t>
  </si>
  <si>
    <t>SaltFlats</t>
  </si>
  <si>
    <t>LargeTown</t>
  </si>
  <si>
    <t>SmallTown</t>
  </si>
  <si>
    <t>SoEBSP</t>
  </si>
  <si>
    <t>I.pod</t>
  </si>
  <si>
    <t>P.alex</t>
  </si>
  <si>
    <t>P.mach</t>
  </si>
  <si>
    <t>C.alc</t>
  </si>
  <si>
    <t>O.sylv</t>
  </si>
  <si>
    <t>P.armo</t>
  </si>
  <si>
    <t>P.malv</t>
  </si>
  <si>
    <t>S.orb</t>
  </si>
  <si>
    <t>T.act</t>
  </si>
  <si>
    <t>T.sylv</t>
  </si>
  <si>
    <t>C.croc</t>
  </si>
  <si>
    <t>E.aus</t>
  </si>
  <si>
    <t>G.cleo</t>
  </si>
  <si>
    <t>G.rham</t>
  </si>
  <si>
    <t>L.sin</t>
  </si>
  <si>
    <t>P.bra</t>
  </si>
  <si>
    <t>P.man</t>
  </si>
  <si>
    <t>P.rap</t>
  </si>
  <si>
    <t>P.edu</t>
  </si>
  <si>
    <t xml:space="preserve">A.ages </t>
  </si>
  <si>
    <t>C.mars</t>
  </si>
  <si>
    <t>C.arg</t>
  </si>
  <si>
    <t>F.quer</t>
  </si>
  <si>
    <t>L.boe</t>
  </si>
  <si>
    <t>L.piri</t>
  </si>
  <si>
    <t>L.otto</t>
  </si>
  <si>
    <t>L.phle</t>
  </si>
  <si>
    <t>P.ica</t>
  </si>
  <si>
    <t>S.aca</t>
  </si>
  <si>
    <t>S.ili</t>
  </si>
  <si>
    <t>A.pand</t>
  </si>
  <si>
    <t>A.paph</t>
  </si>
  <si>
    <t>B.cir</t>
  </si>
  <si>
    <t>C.jas</t>
  </si>
  <si>
    <t>C.pam</t>
  </si>
  <si>
    <t>H.syr</t>
  </si>
  <si>
    <t>H.volg</t>
  </si>
  <si>
    <t>K.rox</t>
  </si>
  <si>
    <t>L.mae</t>
  </si>
  <si>
    <t>L.meg</t>
  </si>
  <si>
    <t>L.cel</t>
  </si>
  <si>
    <t>L.red</t>
  </si>
  <si>
    <t>M.jur</t>
  </si>
  <si>
    <t>M.lar</t>
  </si>
  <si>
    <t>M.cin</t>
  </si>
  <si>
    <t>M.did</t>
  </si>
  <si>
    <t>N.pol</t>
  </si>
  <si>
    <t>P.aeg</t>
  </si>
  <si>
    <t>P.egea</t>
  </si>
  <si>
    <t>V.ata</t>
  </si>
  <si>
    <t>V.car</t>
  </si>
  <si>
    <t>Voltinism</t>
  </si>
  <si>
    <t>PuL_buried_Bu</t>
  </si>
  <si>
    <t>PuL_groundlayer_Gl</t>
  </si>
  <si>
    <t>PuL_fieldlayer_Gl</t>
  </si>
  <si>
    <t>PuL_shrub_layer_Sl</t>
  </si>
  <si>
    <t>PuL_canopy_layer_Cl</t>
  </si>
  <si>
    <t>PuL_attended_At</t>
  </si>
  <si>
    <t>CanopyAffinity</t>
  </si>
  <si>
    <t>EdgeAffinity</t>
  </si>
  <si>
    <t>MoistureAffinity</t>
  </si>
  <si>
    <t>DisturbanceAffinity</t>
  </si>
  <si>
    <t>NumberOfHostplantFamilies</t>
  </si>
  <si>
    <t>Canopy generalist</t>
  </si>
  <si>
    <t>Edge-associated (strong)</t>
  </si>
  <si>
    <t>Xeric-associated (strong)</t>
  </si>
  <si>
    <t>Disturbance-associated (strong)</t>
  </si>
  <si>
    <t>Open canopy</t>
  </si>
  <si>
    <t>No evidence for edge associations</t>
  </si>
  <si>
    <t>NA</t>
  </si>
  <si>
    <t>Edge association varies</t>
  </si>
  <si>
    <t>Both</t>
  </si>
  <si>
    <t>Disturbance-associated (weak)</t>
  </si>
  <si>
    <t>Mixed canopy (open affinity)</t>
  </si>
  <si>
    <t>Edge-associated (weak)</t>
  </si>
  <si>
    <t>Xeric-associated (weak)</t>
  </si>
  <si>
    <t>Edge-avoidant (strong)</t>
  </si>
  <si>
    <t>Mesic-associated (weak)</t>
  </si>
  <si>
    <t>Seen near and away from disturbed habitat</t>
  </si>
  <si>
    <t>Moisture association varies</t>
  </si>
  <si>
    <t>Seen near and away from edges</t>
  </si>
  <si>
    <t>Edge-avoidant (weak)</t>
  </si>
  <si>
    <t>Disturbance association varies</t>
  </si>
  <si>
    <t>No evidence for moisture association</t>
  </si>
  <si>
    <t>Mesic-associated (strong)</t>
  </si>
  <si>
    <t>Mixed canopy (closed affinity)</t>
  </si>
  <si>
    <t>Disturbance-avoidant (strong)</t>
  </si>
  <si>
    <t>Habitat</t>
  </si>
  <si>
    <t>Phrygana</t>
  </si>
  <si>
    <t>Successional</t>
  </si>
  <si>
    <t>Count</t>
  </si>
  <si>
    <t>Meadow</t>
  </si>
  <si>
    <t>Sorensen Dissimilarity</t>
  </si>
  <si>
    <t>Sorensen Similarity</t>
  </si>
  <si>
    <t>Eve</t>
  </si>
  <si>
    <t>Dec</t>
  </si>
  <si>
    <t>Olive</t>
  </si>
  <si>
    <t>Maq</t>
  </si>
  <si>
    <t>Phr</t>
  </si>
  <si>
    <t>Succ</t>
  </si>
  <si>
    <t>Agr</t>
  </si>
  <si>
    <t>Dune</t>
  </si>
  <si>
    <t>Mars</t>
  </si>
  <si>
    <t>Low</t>
  </si>
  <si>
    <t>High</t>
  </si>
  <si>
    <t>Lag</t>
  </si>
  <si>
    <t>Salt</t>
  </si>
  <si>
    <t>Larg</t>
  </si>
  <si>
    <t>Smal</t>
  </si>
  <si>
    <t>SoEB</t>
  </si>
  <si>
    <t>Corfu 2015</t>
  </si>
  <si>
    <t>LULC Class</t>
  </si>
  <si>
    <t>(ha)</t>
  </si>
  <si>
    <t>(%)</t>
  </si>
  <si>
    <t>Forest</t>
  </si>
  <si>
    <t>Shrublands</t>
  </si>
  <si>
    <t>Transitional</t>
  </si>
  <si>
    <t>Sparse Phrygana</t>
  </si>
  <si>
    <t>Open Area/Rocks</t>
  </si>
  <si>
    <t>Medium-Density Olive Orchards</t>
  </si>
  <si>
    <t>High-Density Olive Orchards</t>
  </si>
  <si>
    <t>Low-Density Olive Orchards</t>
  </si>
  <si>
    <t>Vineyards</t>
  </si>
  <si>
    <t>Arable</t>
  </si>
  <si>
    <t>Permanent</t>
  </si>
  <si>
    <t>Mixed Cultures</t>
  </si>
  <si>
    <t>Other Cultures</t>
  </si>
  <si>
    <t>Urban</t>
  </si>
  <si>
    <t>Habitats</t>
  </si>
  <si>
    <t>Altitude</t>
  </si>
  <si>
    <t>TreeShadeArea</t>
  </si>
  <si>
    <t>TallVegHeight</t>
  </si>
  <si>
    <t>ShortVegHeight</t>
  </si>
  <si>
    <t>NSpecies</t>
  </si>
  <si>
    <t>NButterflies</t>
  </si>
  <si>
    <t>FruitTreePresence</t>
  </si>
  <si>
    <t>StrongFloweringPlantPresence</t>
  </si>
  <si>
    <t>OrnamentalPresence</t>
  </si>
  <si>
    <t>RelativeDryness</t>
  </si>
  <si>
    <t>DistanceToWater</t>
  </si>
  <si>
    <t>RockStructures</t>
  </si>
  <si>
    <t>RelativeDisturbance</t>
  </si>
  <si>
    <t>Group</t>
  </si>
  <si>
    <t>Df</t>
  </si>
  <si>
    <t>Variance</t>
  </si>
  <si>
    <t>F</t>
  </si>
  <si>
    <t>Variable</t>
  </si>
  <si>
    <t>Distance To Water</t>
  </si>
  <si>
    <t>Tallest Vegetation Height</t>
  </si>
  <si>
    <t>Shortest Vegetation Height</t>
  </si>
  <si>
    <t>Fruit Tree Presence</t>
  </si>
  <si>
    <t>Strong Flowering Plant Presence</t>
  </si>
  <si>
    <t>Ornamental Presence</t>
  </si>
  <si>
    <t>Rock Structures</t>
  </si>
  <si>
    <t>Tree Shade Area</t>
  </si>
  <si>
    <t>Relative Dryness</t>
  </si>
  <si>
    <t>Relative Disturbance</t>
  </si>
  <si>
    <t>P-value</t>
  </si>
  <si>
    <t>Number_of_Hostplant_Families</t>
  </si>
  <si>
    <t>Average_MF_Wingspan</t>
  </si>
  <si>
    <t>Number</t>
  </si>
  <si>
    <t>A.ages</t>
  </si>
  <si>
    <t>SFPP</t>
  </si>
  <si>
    <t>Gregariousness</t>
  </si>
  <si>
    <t>AL1</t>
  </si>
  <si>
    <t>AL2</t>
  </si>
  <si>
    <t>AL3</t>
  </si>
  <si>
    <t>FL1</t>
  </si>
  <si>
    <t>FL2</t>
  </si>
  <si>
    <t>FL3</t>
  </si>
  <si>
    <t>FL4</t>
  </si>
  <si>
    <t>FL5</t>
  </si>
  <si>
    <t>Migration</t>
  </si>
  <si>
    <t>Wingspan</t>
  </si>
  <si>
    <t>EUS</t>
  </si>
  <si>
    <t>MED</t>
  </si>
  <si>
    <t>EUR</t>
  </si>
  <si>
    <t>HOL</t>
  </si>
  <si>
    <t>GLOB</t>
  </si>
  <si>
    <t>Feeding_index</t>
  </si>
  <si>
    <t>Generation_numbers</t>
  </si>
  <si>
    <t>Host_plant_apparency</t>
  </si>
  <si>
    <t>LFM_–_flower</t>
  </si>
  <si>
    <t>LFM_–_leaf</t>
  </si>
  <si>
    <t>Mountain_distribution</t>
  </si>
  <si>
    <t>Overwintering_stage</t>
  </si>
  <si>
    <t>Ovum_placement</t>
  </si>
  <si>
    <t>Range_size</t>
  </si>
  <si>
    <t>Range_type</t>
  </si>
  <si>
    <t>No. Hostplant Families</t>
  </si>
  <si>
    <t>Pupal Location</t>
  </si>
  <si>
    <t>Myrmecophily</t>
  </si>
  <si>
    <t>Altitudinal Range</t>
  </si>
  <si>
    <t>Flying Period</t>
  </si>
  <si>
    <t>Hostplant Apparency</t>
  </si>
  <si>
    <t>Larval Feeding Mode</t>
  </si>
  <si>
    <t>Migratory</t>
  </si>
  <si>
    <t>Overwintering Stage</t>
  </si>
  <si>
    <t>Ovum Placement</t>
  </si>
  <si>
    <t>Range Size</t>
  </si>
  <si>
    <t>Feeding Index</t>
  </si>
  <si>
    <t>n.s</t>
  </si>
  <si>
    <t>P-VALUES (x = n.s, X = S)</t>
  </si>
  <si>
    <t>NUM</t>
  </si>
  <si>
    <t>ORD</t>
  </si>
  <si>
    <t>BIN</t>
  </si>
  <si>
    <t>AIC</t>
  </si>
  <si>
    <t>*</t>
  </si>
  <si>
    <t>**</t>
  </si>
  <si>
    <t>***</t>
  </si>
  <si>
    <t>Significance</t>
  </si>
  <si>
    <t>Tree-Shade Area</t>
  </si>
  <si>
    <t>Rock Structure Presence</t>
  </si>
  <si>
    <t>Ornamental Plant Presence</t>
  </si>
  <si>
    <t>Distance to Water Body</t>
  </si>
  <si>
    <t>P</t>
  </si>
  <si>
    <t>Ordinal</t>
  </si>
  <si>
    <t>Continuous</t>
  </si>
  <si>
    <t>Binomial</t>
  </si>
  <si>
    <t>Response Variable</t>
  </si>
  <si>
    <t>Independent Variables</t>
  </si>
  <si>
    <t>Wilcoxon</t>
  </si>
  <si>
    <t>Logistic Regression</t>
  </si>
  <si>
    <t>Chi-squared</t>
  </si>
  <si>
    <t>Ordinal Regression</t>
  </si>
  <si>
    <t>Linear Regression</t>
  </si>
  <si>
    <t>Table 1:</t>
  </si>
  <si>
    <t>Abbreviation</t>
  </si>
  <si>
    <t>Collected</t>
  </si>
  <si>
    <t>Estimated</t>
  </si>
  <si>
    <t>Alt</t>
  </si>
  <si>
    <t>DTW</t>
  </si>
  <si>
    <t>Altitude of study location</t>
  </si>
  <si>
    <t>Distance to nearest large water body</t>
  </si>
  <si>
    <t>Presence of notable number of flowering heads</t>
  </si>
  <si>
    <t>Percentage of relative human disturbance</t>
  </si>
  <si>
    <t>Percentage of relative habitat substrate dryness</t>
  </si>
  <si>
    <t>Percentage of sunlight blocked by foliage</t>
  </si>
  <si>
    <t>Environmental Variable</t>
  </si>
  <si>
    <r>
      <rPr>
        <b/>
        <sz val="11"/>
        <color theme="1"/>
        <rFont val="Calibri"/>
        <family val="2"/>
        <scheme val="minor"/>
      </rPr>
      <t xml:space="preserve">Table 1: </t>
    </r>
    <r>
      <rPr>
        <sz val="11"/>
        <color theme="1"/>
        <rFont val="Calibri"/>
        <family val="2"/>
        <scheme val="minor"/>
      </rPr>
      <t>Collected or estimated environmental variables at surveyed habitats.</t>
    </r>
  </si>
  <si>
    <t>SVH</t>
  </si>
  <si>
    <t>TVH</t>
  </si>
  <si>
    <t>FTP</t>
  </si>
  <si>
    <t>OP</t>
  </si>
  <si>
    <t>RS</t>
  </si>
  <si>
    <t>RDr</t>
  </si>
  <si>
    <t>RDi</t>
  </si>
  <si>
    <t>TSA</t>
  </si>
  <si>
    <t>Mean height of the shortest vegetation</t>
  </si>
  <si>
    <t>Mean height of the tallest vegetation</t>
  </si>
  <si>
    <t>Presence of fruiting trees within the transect</t>
  </si>
  <si>
    <t>Presence of ornamental plants within the transect</t>
  </si>
  <si>
    <t>Presence of rock structures within the transect</t>
  </si>
  <si>
    <r>
      <rPr>
        <b/>
        <sz val="11"/>
        <color theme="1"/>
        <rFont val="Calibri"/>
        <family val="2"/>
        <scheme val="minor"/>
      </rPr>
      <t xml:space="preserve">* </t>
    </r>
    <r>
      <rPr>
        <sz val="11"/>
        <color theme="1"/>
        <rFont val="Calibri"/>
        <family val="2"/>
        <scheme val="minor"/>
      </rPr>
      <t>Relative to the most disturbed or dry habitat</t>
    </r>
  </si>
  <si>
    <t>Trait</t>
  </si>
  <si>
    <t>Gaussian</t>
  </si>
  <si>
    <t>Poisson</t>
  </si>
  <si>
    <r>
      <t xml:space="preserve">Table 3: </t>
    </r>
    <r>
      <rPr>
        <sz val="11"/>
        <color theme="1"/>
        <rFont val="Calibri"/>
        <family val="2"/>
        <scheme val="minor"/>
      </rPr>
      <t>Significance of environmental variables on species traits.</t>
    </r>
  </si>
  <si>
    <t>Error</t>
  </si>
  <si>
    <t>Diversity</t>
  </si>
  <si>
    <t>Evenness</t>
  </si>
  <si>
    <t>Sand Dunes</t>
  </si>
  <si>
    <t>Genus</t>
  </si>
  <si>
    <t>Papilionidae</t>
  </si>
  <si>
    <t>Hesperiidae</t>
  </si>
  <si>
    <t>Pieridae</t>
  </si>
  <si>
    <t>Lycaenidae</t>
  </si>
  <si>
    <t>Nymphalidae</t>
  </si>
  <si>
    <t>Woodland</t>
  </si>
  <si>
    <t>Grassland</t>
  </si>
  <si>
    <t>Aquatic</t>
  </si>
  <si>
    <t>Mixed</t>
  </si>
  <si>
    <t>Success ional</t>
  </si>
  <si>
    <t>Agricul tural</t>
  </si>
  <si>
    <t>Lowland River</t>
  </si>
  <si>
    <t>Highland River</t>
  </si>
  <si>
    <t>Salt Flats</t>
  </si>
  <si>
    <t>Large Town</t>
  </si>
  <si>
    <t>Small Town</t>
  </si>
  <si>
    <t>APPENDIX C - Summed abundance data across three visits at each habitat transect.  Total 3567 butterflies from 51 species. See Appendix B for species abbreviations.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</si>
</sst>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333333"/>
      <name val="Roboto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Yu Gothic"/>
      <family val="2"/>
      <charset val="128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theme="1"/>
      <name val="Calibri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sz val="10"/>
      <color rgb="FF333333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1"/>
      <name val="LM Roman 12"/>
    </font>
    <font>
      <sz val="8"/>
      <color theme="1"/>
      <name val="LM Roman 1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64" fontId="0" fillId="0" borderId="2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164" fontId="0" fillId="0" borderId="3" xfId="0" applyNumberFormat="1" applyBorder="1" applyAlignment="1">
      <alignment horizontal="left"/>
    </xf>
    <xf numFmtId="0" fontId="0" fillId="0" borderId="3" xfId="0" applyBorder="1"/>
    <xf numFmtId="164" fontId="0" fillId="0" borderId="0" xfId="0" applyNumberFormat="1"/>
    <xf numFmtId="164" fontId="0" fillId="0" borderId="3" xfId="0" applyNumberFormat="1" applyBorder="1"/>
    <xf numFmtId="164" fontId="0" fillId="0" borderId="4" xfId="0" applyNumberFormat="1" applyBorder="1" applyAlignment="1">
      <alignment horizontal="left"/>
    </xf>
    <xf numFmtId="164" fontId="0" fillId="0" borderId="5" xfId="0" applyNumberFormat="1" applyBorder="1" applyAlignment="1">
      <alignment horizontal="left"/>
    </xf>
    <xf numFmtId="164" fontId="0" fillId="0" borderId="4" xfId="0" applyNumberFormat="1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left"/>
    </xf>
    <xf numFmtId="0" fontId="10" fillId="0" borderId="7" xfId="0" applyFont="1" applyBorder="1" applyAlignment="1">
      <alignment wrapText="1"/>
    </xf>
    <xf numFmtId="0" fontId="9" fillId="0" borderId="7" xfId="0" applyFont="1" applyBorder="1" applyAlignment="1">
      <alignment wrapText="1"/>
    </xf>
    <xf numFmtId="0" fontId="11" fillId="0" borderId="0" xfId="0" applyFont="1"/>
    <xf numFmtId="0" fontId="11" fillId="0" borderId="0" xfId="0" applyFont="1" applyAlignment="1">
      <alignment horizontal="left"/>
    </xf>
    <xf numFmtId="0" fontId="12" fillId="0" borderId="7" xfId="0" applyFont="1" applyBorder="1" applyAlignment="1">
      <alignment wrapText="1"/>
    </xf>
    <xf numFmtId="0" fontId="11" fillId="0" borderId="7" xfId="0" applyFont="1" applyBorder="1" applyAlignment="1">
      <alignment wrapText="1"/>
    </xf>
    <xf numFmtId="0" fontId="12" fillId="0" borderId="0" xfId="0" applyFont="1" applyAlignment="1">
      <alignment horizontal="center"/>
    </xf>
    <xf numFmtId="0" fontId="11" fillId="0" borderId="8" xfId="0" applyFont="1" applyBorder="1" applyAlignment="1">
      <alignment wrapText="1"/>
    </xf>
    <xf numFmtId="0" fontId="12" fillId="0" borderId="8" xfId="0" applyFont="1" applyBorder="1" applyAlignment="1">
      <alignment wrapText="1"/>
    </xf>
    <xf numFmtId="0" fontId="12" fillId="0" borderId="10" xfId="0" applyFont="1" applyBorder="1" applyAlignment="1">
      <alignment wrapText="1"/>
    </xf>
    <xf numFmtId="0" fontId="11" fillId="0" borderId="10" xfId="0" applyFont="1" applyBorder="1" applyAlignment="1">
      <alignment wrapText="1"/>
    </xf>
    <xf numFmtId="0" fontId="12" fillId="0" borderId="9" xfId="0" applyFont="1" applyBorder="1" applyAlignment="1">
      <alignment wrapText="1"/>
    </xf>
    <xf numFmtId="0" fontId="11" fillId="0" borderId="9" xfId="0" applyFont="1" applyBorder="1" applyAlignment="1">
      <alignment wrapText="1"/>
    </xf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0" fillId="0" borderId="0" xfId="0" applyFont="1" applyAlignment="1">
      <alignment horizont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right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4" fillId="0" borderId="0" xfId="0" applyFont="1" applyAlignment="1">
      <alignment horizontal="right" vertical="center" wrapText="1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left"/>
    </xf>
    <xf numFmtId="0" fontId="1" fillId="0" borderId="4" xfId="0" applyFont="1" applyBorder="1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164" fontId="0" fillId="0" borderId="0" xfId="0" applyNumberFormat="1" applyAlignment="1">
      <alignment horizontal="center"/>
    </xf>
    <xf numFmtId="0" fontId="1" fillId="0" borderId="4" xfId="0" applyFont="1" applyBorder="1" applyAlignment="1">
      <alignment horizontal="left"/>
    </xf>
    <xf numFmtId="164" fontId="0" fillId="0" borderId="4" xfId="0" applyNumberFormat="1" applyBorder="1" applyAlignment="1">
      <alignment horizontal="center"/>
    </xf>
    <xf numFmtId="164" fontId="15" fillId="0" borderId="0" xfId="0" applyNumberFormat="1" applyFont="1" applyAlignment="1">
      <alignment horizontal="center"/>
    </xf>
    <xf numFmtId="164" fontId="15" fillId="0" borderId="4" xfId="0" applyNumberFormat="1" applyFont="1" applyBorder="1" applyAlignment="1">
      <alignment horizontal="center"/>
    </xf>
    <xf numFmtId="164" fontId="16" fillId="0" borderId="0" xfId="0" applyNumberFormat="1" applyFont="1" applyAlignment="1">
      <alignment horizontal="center"/>
    </xf>
    <xf numFmtId="0" fontId="0" fillId="0" borderId="14" xfId="0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17" xfId="0" applyBorder="1"/>
    <xf numFmtId="0" fontId="17" fillId="0" borderId="11" xfId="0" applyFont="1" applyBorder="1" applyAlignment="1">
      <alignment horizontal="left" vertical="top" wrapText="1"/>
    </xf>
    <xf numFmtId="0" fontId="18" fillId="0" borderId="16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7" fillId="0" borderId="4" xfId="0" applyFont="1" applyBorder="1" applyAlignment="1">
      <alignment vertical="center"/>
    </xf>
    <xf numFmtId="0" fontId="17" fillId="0" borderId="4" xfId="0" applyFont="1" applyBorder="1" applyAlignment="1">
      <alignment horizontal="left" vertical="center"/>
    </xf>
    <xf numFmtId="0" fontId="18" fillId="0" borderId="15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textRotation="45"/>
    </xf>
    <xf numFmtId="0" fontId="18" fillId="0" borderId="0" xfId="0" applyFont="1"/>
    <xf numFmtId="0" fontId="18" fillId="0" borderId="17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Border="1" applyAlignment="1">
      <alignment horizontal="center" vertical="center" textRotation="45"/>
    </xf>
    <xf numFmtId="0" fontId="18" fillId="0" borderId="4" xfId="0" applyFont="1" applyBorder="1" applyAlignment="1">
      <alignment horizontal="center" vertical="center" textRotation="45"/>
    </xf>
    <xf numFmtId="0" fontId="18" fillId="0" borderId="4" xfId="0" applyFont="1" applyBorder="1"/>
    <xf numFmtId="0" fontId="18" fillId="0" borderId="1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80D29-93B7-4E7A-8A3C-27E37987E7D7}">
  <dimension ref="A1:BN52"/>
  <sheetViews>
    <sheetView zoomScale="115" zoomScaleNormal="115" workbookViewId="0">
      <pane ySplit="1" topLeftCell="A2" activePane="bottomLeft" state="frozen"/>
      <selection activeCell="AH1" sqref="AH1"/>
      <selection pane="bottomLeft" activeCell="A20" sqref="A20"/>
    </sheetView>
  </sheetViews>
  <sheetFormatPr defaultColWidth="9.109375" defaultRowHeight="14.4" x14ac:dyDescent="0.3"/>
  <cols>
    <col min="1" max="1" width="14.44140625" bestFit="1" customWidth="1"/>
    <col min="2" max="2" width="5.88671875" bestFit="1" customWidth="1"/>
    <col min="3" max="3" width="7.6640625" bestFit="1" customWidth="1"/>
    <col min="4" max="4" width="5.88671875" bestFit="1" customWidth="1"/>
    <col min="5" max="5" width="6.44140625" bestFit="1" customWidth="1"/>
    <col min="6" max="7" width="6.33203125" bestFit="1" customWidth="1"/>
    <col min="8" max="8" width="7.6640625" bestFit="1" customWidth="1"/>
    <col min="9" max="9" width="5.6640625" bestFit="1" customWidth="1"/>
    <col min="10" max="10" width="7.109375" bestFit="1" customWidth="1"/>
    <col min="11" max="11" width="5.88671875" bestFit="1" customWidth="1"/>
    <col min="12" max="12" width="6.44140625" bestFit="1" customWidth="1"/>
    <col min="13" max="13" width="6.33203125" bestFit="1" customWidth="1"/>
    <col min="14" max="14" width="6.6640625" bestFit="1" customWidth="1"/>
    <col min="15" max="16" width="7.21875" bestFit="1" customWidth="1"/>
    <col min="17" max="17" width="8.5546875" bestFit="1" customWidth="1"/>
    <col min="18" max="18" width="6.44140625" bestFit="1" customWidth="1"/>
    <col min="19" max="19" width="8.33203125" bestFit="1" customWidth="1"/>
    <col min="20" max="20" width="6.44140625" bestFit="1" customWidth="1"/>
    <col min="21" max="21" width="6.33203125" bestFit="1" customWidth="1"/>
    <col min="22" max="22" width="6.44140625" bestFit="1" customWidth="1"/>
    <col min="23" max="23" width="6" bestFit="1" customWidth="1"/>
    <col min="24" max="24" width="7.109375" bestFit="1" customWidth="1"/>
    <col min="25" max="25" width="8.33203125" bestFit="1" customWidth="1"/>
    <col min="26" max="26" width="5.88671875" bestFit="1" customWidth="1"/>
    <col min="27" max="28" width="6" bestFit="1" customWidth="1"/>
    <col min="29" max="29" width="7.21875" bestFit="1" customWidth="1"/>
    <col min="30" max="30" width="4.5546875" bestFit="1" customWidth="1"/>
    <col min="31" max="32" width="6.44140625" bestFit="1" customWidth="1"/>
    <col min="33" max="33" width="7.109375" bestFit="1" customWidth="1"/>
    <col min="34" max="34" width="6.33203125" bestFit="1" customWidth="1"/>
    <col min="35" max="35" width="8.33203125" bestFit="1" customWidth="1"/>
    <col min="36" max="36" width="6" bestFit="1" customWidth="1"/>
    <col min="37" max="37" width="7.21875" bestFit="1" customWidth="1"/>
    <col min="38" max="38" width="6.33203125" bestFit="1" customWidth="1"/>
    <col min="39" max="39" width="7.109375" bestFit="1" customWidth="1"/>
    <col min="40" max="40" width="7.77734375" bestFit="1" customWidth="1"/>
    <col min="41" max="41" width="7.44140625" bestFit="1" customWidth="1"/>
    <col min="42" max="42" width="6.88671875" bestFit="1" customWidth="1"/>
    <col min="43" max="43" width="7.21875" bestFit="1" customWidth="1"/>
    <col min="44" max="44" width="7.44140625" bestFit="1" customWidth="1"/>
    <col min="45" max="45" width="6.88671875" bestFit="1" customWidth="1"/>
    <col min="46" max="46" width="7.6640625" bestFit="1" customWidth="1"/>
    <col min="47" max="47" width="7.44140625" bestFit="1" customWidth="1"/>
    <col min="48" max="48" width="8.33203125" bestFit="1" customWidth="1"/>
    <col min="49" max="49" width="8.77734375" bestFit="1" customWidth="1"/>
    <col min="50" max="50" width="8.21875" bestFit="1" customWidth="1"/>
    <col min="51" max="51" width="6.44140625" bestFit="1" customWidth="1"/>
    <col min="52" max="52" width="6.6640625" bestFit="1" customWidth="1"/>
    <col min="53" max="53" width="9.5546875" bestFit="1" customWidth="1"/>
    <col min="54" max="66" width="3.77734375" bestFit="1" customWidth="1"/>
    <col min="67" max="16384" width="9.109375" style="7"/>
  </cols>
  <sheetData>
    <row r="1" spans="1:66" s="59" customFormat="1" ht="14.25" customHeight="1" x14ac:dyDescent="0.3">
      <c r="A1" s="29" t="s">
        <v>143</v>
      </c>
      <c r="B1" t="s">
        <v>57</v>
      </c>
      <c r="C1" t="s">
        <v>27</v>
      </c>
      <c r="D1" t="s">
        <v>58</v>
      </c>
      <c r="E1" t="s">
        <v>30</v>
      </c>
      <c r="F1" t="s">
        <v>42</v>
      </c>
      <c r="G1" t="s">
        <v>23</v>
      </c>
      <c r="H1" t="s">
        <v>25</v>
      </c>
      <c r="I1" t="s">
        <v>47</v>
      </c>
      <c r="J1" t="s">
        <v>19</v>
      </c>
      <c r="K1" t="s">
        <v>29</v>
      </c>
      <c r="L1" t="s">
        <v>36</v>
      </c>
      <c r="M1" t="s">
        <v>52</v>
      </c>
      <c r="N1" t="s">
        <v>24</v>
      </c>
      <c r="O1" t="s">
        <v>51</v>
      </c>
      <c r="P1" t="s">
        <v>41</v>
      </c>
      <c r="Q1" t="s">
        <v>34</v>
      </c>
      <c r="R1" t="s">
        <v>60</v>
      </c>
      <c r="S1" t="s">
        <v>46</v>
      </c>
      <c r="T1" t="s">
        <v>32</v>
      </c>
      <c r="U1" t="s">
        <v>56</v>
      </c>
      <c r="V1" t="s">
        <v>65</v>
      </c>
      <c r="W1" t="s">
        <v>55</v>
      </c>
      <c r="X1" t="s">
        <v>43</v>
      </c>
      <c r="Y1" t="s">
        <v>28</v>
      </c>
      <c r="Z1" t="s">
        <v>39</v>
      </c>
      <c r="AA1" t="s">
        <v>50</v>
      </c>
      <c r="AB1" t="s">
        <v>15</v>
      </c>
      <c r="AC1" t="s">
        <v>54</v>
      </c>
      <c r="AD1" t="s">
        <v>44</v>
      </c>
      <c r="AE1" t="s">
        <v>59</v>
      </c>
      <c r="AF1" t="s">
        <v>64</v>
      </c>
      <c r="AG1" t="s">
        <v>62</v>
      </c>
      <c r="AH1" t="s">
        <v>61</v>
      </c>
      <c r="AI1" t="s">
        <v>63</v>
      </c>
      <c r="AJ1" t="s">
        <v>48</v>
      </c>
      <c r="AK1" t="s">
        <v>16</v>
      </c>
      <c r="AL1" t="s">
        <v>18</v>
      </c>
      <c r="AM1" t="s">
        <v>33</v>
      </c>
      <c r="AN1" t="s">
        <v>35</v>
      </c>
      <c r="AO1" t="s">
        <v>49</v>
      </c>
      <c r="AP1" t="s">
        <v>40</v>
      </c>
      <c r="AQ1" t="s">
        <v>53</v>
      </c>
      <c r="AR1" t="s">
        <v>37</v>
      </c>
      <c r="AS1" t="s">
        <v>38</v>
      </c>
      <c r="AT1" t="s">
        <v>21</v>
      </c>
      <c r="AU1" t="s">
        <v>31</v>
      </c>
      <c r="AV1" t="s">
        <v>45</v>
      </c>
      <c r="AW1" t="s">
        <v>17</v>
      </c>
      <c r="AX1" t="s">
        <v>20</v>
      </c>
      <c r="AY1" t="s">
        <v>22</v>
      </c>
      <c r="AZ1" t="s">
        <v>26</v>
      </c>
      <c r="BA1" s="58"/>
      <c r="BB1" s="58"/>
      <c r="BC1" s="58"/>
      <c r="BD1" s="58"/>
      <c r="BE1" s="58"/>
      <c r="BF1" s="58"/>
      <c r="BG1" s="58"/>
      <c r="BH1" s="58"/>
      <c r="BI1" s="58"/>
      <c r="BJ1" s="58"/>
      <c r="BK1" s="58"/>
      <c r="BL1" s="58"/>
      <c r="BM1" s="58"/>
      <c r="BN1" s="58"/>
    </row>
    <row r="2" spans="1:66" x14ac:dyDescent="0.3">
      <c r="A2" s="75" t="s">
        <v>1</v>
      </c>
      <c r="B2" s="7">
        <v>47</v>
      </c>
      <c r="C2" s="7">
        <v>5</v>
      </c>
      <c r="D2" s="7">
        <v>0</v>
      </c>
      <c r="E2" s="7">
        <v>7</v>
      </c>
      <c r="F2" s="7">
        <v>3</v>
      </c>
      <c r="G2" s="7">
        <v>9</v>
      </c>
      <c r="H2" s="7">
        <v>5</v>
      </c>
      <c r="I2" s="7">
        <v>0</v>
      </c>
      <c r="J2" s="7">
        <v>2</v>
      </c>
      <c r="K2" s="7">
        <v>4</v>
      </c>
      <c r="L2" s="7">
        <v>3</v>
      </c>
      <c r="M2" s="7">
        <v>0</v>
      </c>
      <c r="N2" s="7">
        <v>3</v>
      </c>
      <c r="O2" s="7">
        <v>0</v>
      </c>
      <c r="P2" s="7">
        <v>0</v>
      </c>
      <c r="Q2" s="7">
        <v>1</v>
      </c>
      <c r="R2" s="7">
        <v>5</v>
      </c>
      <c r="S2" s="7">
        <v>1</v>
      </c>
      <c r="T2" s="7">
        <v>0</v>
      </c>
      <c r="U2" s="7">
        <v>1</v>
      </c>
      <c r="V2" s="7">
        <v>0</v>
      </c>
      <c r="W2" s="7">
        <v>3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0</v>
      </c>
      <c r="AF2" s="7">
        <v>0</v>
      </c>
      <c r="AG2" s="7">
        <v>0</v>
      </c>
      <c r="AH2" s="7">
        <v>2</v>
      </c>
      <c r="AI2" s="7">
        <v>1</v>
      </c>
      <c r="AJ2" s="7">
        <v>2</v>
      </c>
      <c r="AK2" s="7">
        <v>0</v>
      </c>
      <c r="AL2" s="7">
        <v>0</v>
      </c>
      <c r="AM2" s="7">
        <v>0</v>
      </c>
      <c r="AN2" s="7">
        <v>0</v>
      </c>
      <c r="AO2" s="7">
        <v>1</v>
      </c>
      <c r="AP2" s="7">
        <v>0</v>
      </c>
      <c r="AQ2" s="7">
        <v>1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</row>
    <row r="3" spans="1:66" x14ac:dyDescent="0.3">
      <c r="A3" s="75" t="s">
        <v>2</v>
      </c>
      <c r="B3" s="7">
        <v>24</v>
      </c>
      <c r="C3" s="7">
        <v>2</v>
      </c>
      <c r="D3" s="7">
        <v>0</v>
      </c>
      <c r="E3" s="7">
        <v>26</v>
      </c>
      <c r="F3" s="7">
        <v>0</v>
      </c>
      <c r="G3" s="7">
        <v>0</v>
      </c>
      <c r="H3" s="7">
        <v>0</v>
      </c>
      <c r="I3" s="7">
        <v>0</v>
      </c>
      <c r="J3" s="7">
        <v>0</v>
      </c>
      <c r="K3" s="7">
        <v>0</v>
      </c>
      <c r="L3" s="7">
        <v>0</v>
      </c>
      <c r="M3" s="7">
        <v>9</v>
      </c>
      <c r="N3" s="7">
        <v>0</v>
      </c>
      <c r="O3" s="7">
        <v>5</v>
      </c>
      <c r="P3" s="7">
        <v>0</v>
      </c>
      <c r="Q3" s="7">
        <v>0</v>
      </c>
      <c r="R3" s="7">
        <v>0</v>
      </c>
      <c r="S3" s="7">
        <v>1</v>
      </c>
      <c r="T3" s="7">
        <v>0</v>
      </c>
      <c r="U3" s="7">
        <v>5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1</v>
      </c>
      <c r="AB3" s="7">
        <v>0</v>
      </c>
      <c r="AC3" s="7">
        <v>1</v>
      </c>
      <c r="AD3" s="7">
        <v>3</v>
      </c>
      <c r="AE3" s="7">
        <v>0</v>
      </c>
      <c r="AF3" s="7">
        <v>1</v>
      </c>
      <c r="AG3" s="7">
        <v>2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1</v>
      </c>
      <c r="AP3" s="7">
        <v>0</v>
      </c>
      <c r="AQ3" s="7">
        <v>0</v>
      </c>
      <c r="AR3" s="7">
        <v>2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</row>
    <row r="4" spans="1:66" x14ac:dyDescent="0.3">
      <c r="A4" s="75" t="s">
        <v>3</v>
      </c>
      <c r="B4" s="7">
        <v>238</v>
      </c>
      <c r="C4" s="7">
        <v>25</v>
      </c>
      <c r="D4" s="7">
        <v>0</v>
      </c>
      <c r="E4" s="7">
        <v>9</v>
      </c>
      <c r="F4" s="7">
        <v>24</v>
      </c>
      <c r="G4" s="7">
        <v>62</v>
      </c>
      <c r="H4" s="7">
        <v>20</v>
      </c>
      <c r="I4" s="7">
        <v>1</v>
      </c>
      <c r="J4" s="7">
        <v>18</v>
      </c>
      <c r="K4" s="7">
        <v>58</v>
      </c>
      <c r="L4" s="7">
        <v>1</v>
      </c>
      <c r="M4" s="7">
        <v>0</v>
      </c>
      <c r="N4" s="7">
        <v>12</v>
      </c>
      <c r="O4" s="7">
        <v>0</v>
      </c>
      <c r="P4" s="7">
        <v>18</v>
      </c>
      <c r="Q4" s="7">
        <v>6</v>
      </c>
      <c r="R4" s="7">
        <v>4</v>
      </c>
      <c r="S4" s="7">
        <v>7</v>
      </c>
      <c r="T4" s="7">
        <v>5</v>
      </c>
      <c r="U4" s="7">
        <v>0</v>
      </c>
      <c r="V4" s="7">
        <v>3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1</v>
      </c>
      <c r="AC4" s="7">
        <v>5</v>
      </c>
      <c r="AD4" s="7">
        <v>0</v>
      </c>
      <c r="AE4" s="7">
        <v>0</v>
      </c>
      <c r="AF4" s="7">
        <v>0</v>
      </c>
      <c r="AG4" s="7">
        <v>2</v>
      </c>
      <c r="AH4" s="7">
        <v>0</v>
      </c>
      <c r="AI4" s="7">
        <v>0</v>
      </c>
      <c r="AJ4" s="7">
        <v>0</v>
      </c>
      <c r="AK4" s="7">
        <v>0</v>
      </c>
      <c r="AL4" s="7">
        <v>2</v>
      </c>
      <c r="AM4" s="7">
        <v>0</v>
      </c>
      <c r="AN4" s="7">
        <v>0</v>
      </c>
      <c r="AO4" s="7">
        <v>1</v>
      </c>
      <c r="AP4" s="7">
        <v>0</v>
      </c>
      <c r="AQ4" s="7">
        <v>0</v>
      </c>
      <c r="AR4" s="7">
        <v>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</row>
    <row r="5" spans="1:66" x14ac:dyDescent="0.3">
      <c r="A5" s="75" t="s">
        <v>4</v>
      </c>
      <c r="B5" s="7">
        <v>50</v>
      </c>
      <c r="C5" s="7">
        <v>65</v>
      </c>
      <c r="D5" s="7">
        <v>36</v>
      </c>
      <c r="E5" s="7">
        <v>7</v>
      </c>
      <c r="F5" s="7">
        <v>6</v>
      </c>
      <c r="G5" s="7">
        <v>15</v>
      </c>
      <c r="H5" s="7">
        <v>13</v>
      </c>
      <c r="I5" s="7">
        <v>51</v>
      </c>
      <c r="J5" s="7">
        <v>4</v>
      </c>
      <c r="K5" s="7">
        <v>0</v>
      </c>
      <c r="L5" s="7">
        <v>5</v>
      </c>
      <c r="M5" s="7">
        <v>0</v>
      </c>
      <c r="N5" s="7">
        <v>6</v>
      </c>
      <c r="O5" s="7">
        <v>2</v>
      </c>
      <c r="P5" s="7">
        <v>0</v>
      </c>
      <c r="Q5" s="7">
        <v>0</v>
      </c>
      <c r="R5" s="7">
        <v>0</v>
      </c>
      <c r="S5" s="7">
        <v>0</v>
      </c>
      <c r="T5" s="7">
        <v>2</v>
      </c>
      <c r="U5" s="7">
        <v>2</v>
      </c>
      <c r="V5" s="7">
        <v>1</v>
      </c>
      <c r="W5" s="7">
        <v>4</v>
      </c>
      <c r="X5" s="7">
        <v>0</v>
      </c>
      <c r="Y5" s="7">
        <v>5</v>
      </c>
      <c r="Z5" s="7">
        <v>12</v>
      </c>
      <c r="AA5" s="7">
        <v>0</v>
      </c>
      <c r="AB5" s="7">
        <v>0</v>
      </c>
      <c r="AC5" s="7">
        <v>4</v>
      </c>
      <c r="AD5" s="7">
        <v>0</v>
      </c>
      <c r="AE5" s="7">
        <v>1</v>
      </c>
      <c r="AF5" s="7">
        <v>1</v>
      </c>
      <c r="AG5" s="7">
        <v>0</v>
      </c>
      <c r="AH5" s="7">
        <v>0</v>
      </c>
      <c r="AI5" s="7">
        <v>0</v>
      </c>
      <c r="AJ5" s="7">
        <v>0</v>
      </c>
      <c r="AK5" s="7">
        <v>1</v>
      </c>
      <c r="AL5" s="7">
        <v>1</v>
      </c>
      <c r="AM5" s="7">
        <v>1</v>
      </c>
      <c r="AN5" s="7">
        <v>0</v>
      </c>
      <c r="AO5" s="7">
        <v>0</v>
      </c>
      <c r="AP5" s="7">
        <v>0</v>
      </c>
      <c r="AQ5" s="7">
        <v>3</v>
      </c>
      <c r="AR5" s="7">
        <v>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</row>
    <row r="6" spans="1:66" x14ac:dyDescent="0.3">
      <c r="A6" s="75" t="s">
        <v>103</v>
      </c>
      <c r="B6" s="7">
        <v>35</v>
      </c>
      <c r="C6" s="7">
        <v>25</v>
      </c>
      <c r="D6" s="7">
        <v>267</v>
      </c>
      <c r="E6" s="7">
        <v>22</v>
      </c>
      <c r="F6" s="7">
        <v>12</v>
      </c>
      <c r="G6" s="7">
        <v>13</v>
      </c>
      <c r="H6" s="7">
        <v>9</v>
      </c>
      <c r="I6" s="7">
        <v>16</v>
      </c>
      <c r="J6" s="7">
        <v>22</v>
      </c>
      <c r="K6" s="7">
        <v>0</v>
      </c>
      <c r="L6" s="7">
        <v>12</v>
      </c>
      <c r="M6" s="7">
        <v>40</v>
      </c>
      <c r="N6" s="7">
        <v>5</v>
      </c>
      <c r="O6" s="7">
        <v>34</v>
      </c>
      <c r="P6" s="7">
        <v>2</v>
      </c>
      <c r="Q6" s="7">
        <v>0</v>
      </c>
      <c r="R6" s="7">
        <v>6</v>
      </c>
      <c r="S6" s="7">
        <v>1</v>
      </c>
      <c r="T6" s="7">
        <v>2</v>
      </c>
      <c r="U6" s="7">
        <v>2</v>
      </c>
      <c r="V6" s="7">
        <v>5</v>
      </c>
      <c r="W6" s="7">
        <v>6</v>
      </c>
      <c r="X6" s="7">
        <v>7</v>
      </c>
      <c r="Y6" s="7">
        <v>1</v>
      </c>
      <c r="Z6" s="7">
        <v>0</v>
      </c>
      <c r="AA6" s="7">
        <v>11</v>
      </c>
      <c r="AB6" s="7">
        <v>6</v>
      </c>
      <c r="AC6" s="7">
        <v>2</v>
      </c>
      <c r="AD6" s="7">
        <v>0</v>
      </c>
      <c r="AE6" s="7">
        <v>0</v>
      </c>
      <c r="AF6" s="7">
        <v>0</v>
      </c>
      <c r="AG6" s="7">
        <v>0</v>
      </c>
      <c r="AH6" s="7">
        <v>2</v>
      </c>
      <c r="AI6" s="7">
        <v>0</v>
      </c>
      <c r="AJ6" s="7">
        <v>0</v>
      </c>
      <c r="AK6" s="7">
        <v>2</v>
      </c>
      <c r="AL6" s="7">
        <v>0</v>
      </c>
      <c r="AM6" s="7">
        <v>0</v>
      </c>
      <c r="AN6" s="7">
        <v>0</v>
      </c>
      <c r="AO6" s="7">
        <v>0</v>
      </c>
      <c r="AP6" s="7">
        <v>1</v>
      </c>
      <c r="AQ6" s="7">
        <v>0</v>
      </c>
      <c r="AR6" s="7">
        <v>0</v>
      </c>
      <c r="AS6" s="7">
        <v>3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</row>
    <row r="7" spans="1:66" x14ac:dyDescent="0.3">
      <c r="A7" s="75" t="s">
        <v>104</v>
      </c>
      <c r="B7" s="7">
        <v>93</v>
      </c>
      <c r="C7" s="7">
        <v>37</v>
      </c>
      <c r="D7" s="7">
        <v>0</v>
      </c>
      <c r="E7" s="7">
        <v>0</v>
      </c>
      <c r="F7" s="7">
        <v>5</v>
      </c>
      <c r="G7" s="7">
        <v>10</v>
      </c>
      <c r="H7" s="7">
        <v>3</v>
      </c>
      <c r="I7" s="7">
        <v>25</v>
      </c>
      <c r="J7" s="7">
        <v>33</v>
      </c>
      <c r="K7" s="7">
        <v>3</v>
      </c>
      <c r="L7" s="7">
        <v>3</v>
      </c>
      <c r="M7" s="7">
        <v>0</v>
      </c>
      <c r="N7" s="7">
        <v>16</v>
      </c>
      <c r="O7" s="7">
        <v>0</v>
      </c>
      <c r="P7" s="7">
        <v>0</v>
      </c>
      <c r="Q7" s="7">
        <v>0</v>
      </c>
      <c r="R7" s="7">
        <v>9</v>
      </c>
      <c r="S7" s="7">
        <v>5</v>
      </c>
      <c r="T7" s="7">
        <v>0</v>
      </c>
      <c r="U7" s="7">
        <v>0</v>
      </c>
      <c r="V7" s="7">
        <v>6</v>
      </c>
      <c r="W7" s="7">
        <v>2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1</v>
      </c>
      <c r="AG7" s="7">
        <v>0</v>
      </c>
      <c r="AH7" s="7">
        <v>0</v>
      </c>
      <c r="AI7" s="7">
        <v>0</v>
      </c>
      <c r="AJ7" s="7">
        <v>4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</row>
    <row r="8" spans="1:66" x14ac:dyDescent="0.3">
      <c r="A8" s="28" t="s">
        <v>5</v>
      </c>
      <c r="B8" s="7">
        <v>203</v>
      </c>
      <c r="C8" s="7">
        <v>5</v>
      </c>
      <c r="D8" s="7">
        <v>0</v>
      </c>
      <c r="E8" s="7">
        <v>1</v>
      </c>
      <c r="F8" s="7">
        <v>26</v>
      </c>
      <c r="G8" s="7">
        <v>0</v>
      </c>
      <c r="H8" s="7">
        <v>2</v>
      </c>
      <c r="I8" s="7">
        <v>3</v>
      </c>
      <c r="J8" s="7">
        <v>0</v>
      </c>
      <c r="K8" s="7">
        <v>0</v>
      </c>
      <c r="L8" s="7">
        <v>0</v>
      </c>
      <c r="M8" s="7">
        <v>0</v>
      </c>
      <c r="N8" s="7">
        <v>1</v>
      </c>
      <c r="O8" s="7">
        <v>0</v>
      </c>
      <c r="P8" s="7">
        <v>3</v>
      </c>
      <c r="Q8" s="7">
        <v>5</v>
      </c>
      <c r="R8" s="7">
        <v>0</v>
      </c>
      <c r="S8" s="7">
        <v>0</v>
      </c>
      <c r="T8" s="7">
        <v>0</v>
      </c>
      <c r="U8" s="7">
        <v>0</v>
      </c>
      <c r="V8" s="7">
        <v>3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2</v>
      </c>
      <c r="AP8" s="7">
        <v>0</v>
      </c>
      <c r="AQ8" s="7">
        <v>0</v>
      </c>
      <c r="AR8" s="7">
        <v>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</row>
    <row r="9" spans="1:66" x14ac:dyDescent="0.3">
      <c r="A9" s="28" t="s">
        <v>6</v>
      </c>
      <c r="B9" s="7">
        <v>1</v>
      </c>
      <c r="C9" s="7">
        <v>4</v>
      </c>
      <c r="D9" s="7">
        <v>0</v>
      </c>
      <c r="E9" s="7">
        <v>3</v>
      </c>
      <c r="F9" s="7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1</v>
      </c>
      <c r="M9" s="7">
        <v>0</v>
      </c>
      <c r="N9" s="7">
        <v>0</v>
      </c>
      <c r="O9" s="7">
        <v>0</v>
      </c>
      <c r="P9" s="7">
        <v>1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</row>
    <row r="10" spans="1:66" x14ac:dyDescent="0.3">
      <c r="A10" s="28" t="s">
        <v>7</v>
      </c>
      <c r="B10" s="7">
        <v>9</v>
      </c>
      <c r="C10" s="7">
        <v>20</v>
      </c>
      <c r="D10" s="7">
        <v>0</v>
      </c>
      <c r="E10" s="7">
        <v>6</v>
      </c>
      <c r="F10" s="7">
        <v>5</v>
      </c>
      <c r="G10" s="7">
        <v>3</v>
      </c>
      <c r="H10" s="7">
        <v>4</v>
      </c>
      <c r="I10" s="7">
        <v>3</v>
      </c>
      <c r="J10" s="7">
        <v>0</v>
      </c>
      <c r="K10" s="7">
        <v>0</v>
      </c>
      <c r="L10" s="7">
        <v>0</v>
      </c>
      <c r="M10" s="7">
        <v>0</v>
      </c>
      <c r="N10" s="7">
        <v>2</v>
      </c>
      <c r="O10" s="7">
        <v>0</v>
      </c>
      <c r="P10" s="7">
        <v>3</v>
      </c>
      <c r="Q10" s="7">
        <v>0</v>
      </c>
      <c r="R10" s="7">
        <v>0</v>
      </c>
      <c r="S10" s="7">
        <v>0</v>
      </c>
      <c r="T10" s="7">
        <v>2</v>
      </c>
      <c r="U10" s="7">
        <v>2</v>
      </c>
      <c r="V10" s="7">
        <v>0</v>
      </c>
      <c r="W10" s="7">
        <v>0</v>
      </c>
      <c r="X10" s="7">
        <v>0</v>
      </c>
      <c r="Y10" s="7">
        <v>1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1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</row>
    <row r="11" spans="1:66" x14ac:dyDescent="0.3">
      <c r="A11" s="28" t="s">
        <v>8</v>
      </c>
      <c r="B11" s="7">
        <v>57</v>
      </c>
      <c r="C11" s="7">
        <v>4</v>
      </c>
      <c r="D11" s="7">
        <v>0</v>
      </c>
      <c r="E11" s="7">
        <v>9</v>
      </c>
      <c r="F11" s="7">
        <v>27</v>
      </c>
      <c r="G11" s="7">
        <v>6</v>
      </c>
      <c r="H11" s="7">
        <v>11</v>
      </c>
      <c r="I11" s="7">
        <v>2</v>
      </c>
      <c r="J11" s="7">
        <v>1</v>
      </c>
      <c r="K11" s="7">
        <v>14</v>
      </c>
      <c r="L11" s="7">
        <v>3</v>
      </c>
      <c r="M11" s="7">
        <v>0</v>
      </c>
      <c r="N11" s="7">
        <v>4</v>
      </c>
      <c r="O11" s="7">
        <v>0</v>
      </c>
      <c r="P11" s="7">
        <v>6</v>
      </c>
      <c r="Q11" s="7">
        <v>14</v>
      </c>
      <c r="R11" s="7">
        <v>6</v>
      </c>
      <c r="S11" s="7">
        <v>0</v>
      </c>
      <c r="T11" s="7">
        <v>0</v>
      </c>
      <c r="U11" s="7">
        <v>0</v>
      </c>
      <c r="V11" s="7">
        <v>3</v>
      </c>
      <c r="W11" s="7">
        <v>0</v>
      </c>
      <c r="X11" s="7">
        <v>0</v>
      </c>
      <c r="Y11" s="7">
        <v>0</v>
      </c>
      <c r="Z11" s="7">
        <v>1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1</v>
      </c>
      <c r="AH11" s="7">
        <v>0</v>
      </c>
      <c r="AI11" s="7">
        <v>0</v>
      </c>
      <c r="AJ11" s="7">
        <v>0</v>
      </c>
      <c r="AK11" s="7">
        <v>0</v>
      </c>
      <c r="AL11" s="7">
        <v>1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</row>
    <row r="12" spans="1:66" x14ac:dyDescent="0.3">
      <c r="A12" s="28" t="s">
        <v>9</v>
      </c>
      <c r="B12" s="7">
        <v>29</v>
      </c>
      <c r="C12" s="7">
        <v>19</v>
      </c>
      <c r="D12" s="7">
        <v>0</v>
      </c>
      <c r="E12" s="7">
        <v>13</v>
      </c>
      <c r="F12" s="7">
        <v>8</v>
      </c>
      <c r="G12" s="7">
        <v>0</v>
      </c>
      <c r="H12" s="7">
        <v>4</v>
      </c>
      <c r="I12" s="7">
        <v>1</v>
      </c>
      <c r="J12" s="7">
        <v>7</v>
      </c>
      <c r="K12" s="7">
        <v>7</v>
      </c>
      <c r="L12" s="7">
        <v>21</v>
      </c>
      <c r="M12" s="7">
        <v>0</v>
      </c>
      <c r="N12" s="7">
        <v>0</v>
      </c>
      <c r="O12" s="7">
        <v>0</v>
      </c>
      <c r="P12" s="7">
        <v>2</v>
      </c>
      <c r="Q12" s="7">
        <v>1</v>
      </c>
      <c r="R12" s="7">
        <v>2</v>
      </c>
      <c r="S12" s="7">
        <v>18</v>
      </c>
      <c r="T12" s="7">
        <v>3</v>
      </c>
      <c r="U12" s="7">
        <v>0</v>
      </c>
      <c r="V12" s="7">
        <v>0</v>
      </c>
      <c r="W12" s="7">
        <v>0</v>
      </c>
      <c r="X12" s="7">
        <v>0</v>
      </c>
      <c r="Y12" s="7">
        <v>1</v>
      </c>
      <c r="Z12" s="7">
        <v>0</v>
      </c>
      <c r="AA12" s="7">
        <v>0</v>
      </c>
      <c r="AB12" s="7">
        <v>2</v>
      </c>
      <c r="AC12" s="7">
        <v>0</v>
      </c>
      <c r="AD12" s="7">
        <v>0</v>
      </c>
      <c r="AE12" s="7">
        <v>0</v>
      </c>
      <c r="AF12" s="7">
        <v>0</v>
      </c>
      <c r="AG12" s="7">
        <v>4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1</v>
      </c>
      <c r="AY12" s="7">
        <v>0</v>
      </c>
      <c r="AZ12" s="7">
        <v>0</v>
      </c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</row>
    <row r="13" spans="1:66" x14ac:dyDescent="0.3">
      <c r="A13" s="28" t="s">
        <v>10</v>
      </c>
      <c r="B13" s="7">
        <v>6</v>
      </c>
      <c r="C13" s="7">
        <v>28</v>
      </c>
      <c r="D13" s="7">
        <v>0</v>
      </c>
      <c r="E13" s="7">
        <v>4</v>
      </c>
      <c r="F13" s="7">
        <v>54</v>
      </c>
      <c r="G13" s="7">
        <v>0</v>
      </c>
      <c r="H13" s="7">
        <v>3</v>
      </c>
      <c r="I13" s="7">
        <v>0</v>
      </c>
      <c r="J13" s="7">
        <v>1</v>
      </c>
      <c r="K13" s="7">
        <v>2</v>
      </c>
      <c r="L13" s="7">
        <v>2</v>
      </c>
      <c r="M13" s="7">
        <v>0</v>
      </c>
      <c r="N13" s="7">
        <v>0</v>
      </c>
      <c r="O13" s="7">
        <v>0</v>
      </c>
      <c r="P13" s="7">
        <v>3</v>
      </c>
      <c r="Q13" s="7">
        <v>9</v>
      </c>
      <c r="R13" s="7">
        <v>0</v>
      </c>
      <c r="S13" s="7">
        <v>0</v>
      </c>
      <c r="T13" s="7">
        <v>7</v>
      </c>
      <c r="U13" s="7">
        <v>1</v>
      </c>
      <c r="V13" s="7">
        <v>3</v>
      </c>
      <c r="W13" s="7">
        <v>1</v>
      </c>
      <c r="X13" s="7">
        <v>0</v>
      </c>
      <c r="Y13" s="7">
        <v>5</v>
      </c>
      <c r="Z13" s="7">
        <v>2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2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</row>
    <row r="14" spans="1:66" x14ac:dyDescent="0.3">
      <c r="A14" s="28" t="s">
        <v>11</v>
      </c>
      <c r="B14" s="7">
        <v>11</v>
      </c>
      <c r="C14" s="7">
        <v>4</v>
      </c>
      <c r="D14" s="7">
        <v>0</v>
      </c>
      <c r="E14" s="7">
        <v>2</v>
      </c>
      <c r="F14" s="7">
        <v>2</v>
      </c>
      <c r="G14" s="7">
        <v>1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2</v>
      </c>
      <c r="Q14" s="7">
        <v>0</v>
      </c>
      <c r="R14" s="7">
        <v>0</v>
      </c>
      <c r="S14" s="7">
        <v>1</v>
      </c>
      <c r="T14" s="7">
        <v>1</v>
      </c>
      <c r="U14" s="7">
        <v>0</v>
      </c>
      <c r="V14" s="7">
        <v>1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</row>
    <row r="15" spans="1:66" x14ac:dyDescent="0.3">
      <c r="A15" s="28" t="s">
        <v>12</v>
      </c>
      <c r="B15" s="7">
        <v>12</v>
      </c>
      <c r="C15" s="7">
        <v>91</v>
      </c>
      <c r="D15" s="7">
        <v>0</v>
      </c>
      <c r="E15" s="7">
        <v>47</v>
      </c>
      <c r="F15" s="7">
        <v>1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5</v>
      </c>
      <c r="U15" s="7">
        <v>1</v>
      </c>
      <c r="V15" s="7">
        <v>3</v>
      </c>
      <c r="W15" s="7">
        <v>2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2</v>
      </c>
      <c r="AG15" s="7">
        <v>1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3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1</v>
      </c>
      <c r="AX15" s="7">
        <v>0</v>
      </c>
      <c r="AY15" s="7">
        <v>0</v>
      </c>
      <c r="AZ15" s="7">
        <v>0</v>
      </c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</row>
    <row r="16" spans="1:66" x14ac:dyDescent="0.3">
      <c r="A16" s="28" t="s">
        <v>13</v>
      </c>
      <c r="B16" s="7">
        <v>13</v>
      </c>
      <c r="C16" s="7">
        <v>163</v>
      </c>
      <c r="D16" s="7">
        <v>0</v>
      </c>
      <c r="E16" s="7">
        <v>3</v>
      </c>
      <c r="F16" s="7">
        <v>2</v>
      </c>
      <c r="G16" s="7">
        <v>0</v>
      </c>
      <c r="H16" s="7">
        <v>1</v>
      </c>
      <c r="I16" s="7">
        <v>0</v>
      </c>
      <c r="J16" s="7">
        <v>0</v>
      </c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1</v>
      </c>
      <c r="Q16" s="7">
        <v>1</v>
      </c>
      <c r="R16" s="7">
        <v>0</v>
      </c>
      <c r="S16" s="7">
        <v>3</v>
      </c>
      <c r="T16" s="7">
        <v>5</v>
      </c>
      <c r="U16" s="7">
        <v>1</v>
      </c>
      <c r="V16" s="7">
        <v>0</v>
      </c>
      <c r="W16" s="7">
        <v>1</v>
      </c>
      <c r="X16" s="7">
        <v>0</v>
      </c>
      <c r="Y16" s="7">
        <v>0</v>
      </c>
      <c r="Z16" s="7">
        <v>2</v>
      </c>
      <c r="AA16" s="7">
        <v>0</v>
      </c>
      <c r="AB16" s="7">
        <v>2</v>
      </c>
      <c r="AC16" s="7">
        <v>1</v>
      </c>
      <c r="AD16" s="7">
        <v>0</v>
      </c>
      <c r="AE16" s="7">
        <v>0</v>
      </c>
      <c r="AF16" s="7">
        <v>0</v>
      </c>
      <c r="AG16" s="7">
        <v>0</v>
      </c>
      <c r="AH16" s="7">
        <v>0</v>
      </c>
      <c r="AI16" s="7">
        <v>0</v>
      </c>
      <c r="AJ16" s="7">
        <v>1</v>
      </c>
      <c r="AK16" s="7">
        <v>0</v>
      </c>
      <c r="AL16" s="7">
        <v>0</v>
      </c>
      <c r="AM16" s="7">
        <v>0</v>
      </c>
      <c r="AN16" s="7">
        <v>2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</row>
    <row r="17" spans="1:66" x14ac:dyDescent="0.3">
      <c r="A17" s="28" t="s">
        <v>14</v>
      </c>
      <c r="B17" s="7">
        <v>80</v>
      </c>
      <c r="C17" s="7">
        <v>35</v>
      </c>
      <c r="D17" s="7">
        <v>52</v>
      </c>
      <c r="E17" s="7">
        <v>58</v>
      </c>
      <c r="F17" s="7">
        <v>25</v>
      </c>
      <c r="G17" s="7">
        <v>8</v>
      </c>
      <c r="H17" s="7">
        <v>34</v>
      </c>
      <c r="I17" s="7">
        <v>4</v>
      </c>
      <c r="J17" s="7">
        <v>15</v>
      </c>
      <c r="K17" s="7">
        <v>2</v>
      </c>
      <c r="L17" s="7">
        <v>20</v>
      </c>
      <c r="M17" s="7">
        <v>14</v>
      </c>
      <c r="N17" s="7">
        <v>13</v>
      </c>
      <c r="O17" s="7">
        <v>20</v>
      </c>
      <c r="P17" s="7">
        <v>14</v>
      </c>
      <c r="Q17" s="7">
        <v>12</v>
      </c>
      <c r="R17" s="7">
        <v>13</v>
      </c>
      <c r="S17" s="7">
        <v>7</v>
      </c>
      <c r="T17" s="7">
        <v>10</v>
      </c>
      <c r="U17" s="7">
        <v>25</v>
      </c>
      <c r="V17" s="7">
        <v>9</v>
      </c>
      <c r="W17" s="7">
        <v>14</v>
      </c>
      <c r="X17" s="7">
        <v>21</v>
      </c>
      <c r="Y17" s="7">
        <v>10</v>
      </c>
      <c r="Z17" s="7">
        <v>0</v>
      </c>
      <c r="AA17" s="7">
        <v>5</v>
      </c>
      <c r="AB17" s="7">
        <v>4</v>
      </c>
      <c r="AC17" s="7">
        <v>2</v>
      </c>
      <c r="AD17" s="7">
        <v>10</v>
      </c>
      <c r="AE17" s="7">
        <v>11</v>
      </c>
      <c r="AF17" s="7">
        <v>6</v>
      </c>
      <c r="AG17" s="7">
        <v>0</v>
      </c>
      <c r="AH17" s="7">
        <v>4</v>
      </c>
      <c r="AI17" s="7">
        <v>7</v>
      </c>
      <c r="AJ17" s="7">
        <v>0</v>
      </c>
      <c r="AK17" s="7">
        <v>3</v>
      </c>
      <c r="AL17" s="7">
        <v>2</v>
      </c>
      <c r="AM17" s="7">
        <v>5</v>
      </c>
      <c r="AN17" s="7">
        <v>0</v>
      </c>
      <c r="AO17" s="7">
        <v>0</v>
      </c>
      <c r="AP17" s="7">
        <v>3</v>
      </c>
      <c r="AQ17" s="7">
        <v>0</v>
      </c>
      <c r="AR17" s="7">
        <v>1</v>
      </c>
      <c r="AS17" s="7">
        <v>0</v>
      </c>
      <c r="AT17" s="7">
        <v>2</v>
      </c>
      <c r="AU17" s="7">
        <v>0</v>
      </c>
      <c r="AV17" s="7">
        <v>2</v>
      </c>
      <c r="AW17" s="7">
        <v>0</v>
      </c>
      <c r="AX17" s="7">
        <v>0</v>
      </c>
      <c r="AY17" s="7">
        <v>1</v>
      </c>
      <c r="AZ17" s="7">
        <v>1</v>
      </c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</row>
    <row r="18" spans="1:66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</row>
    <row r="19" spans="1:66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</row>
    <row r="20" spans="1:66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</row>
    <row r="21" spans="1:66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</row>
    <row r="22" spans="1:66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</row>
    <row r="23" spans="1:66" customFormat="1" x14ac:dyDescent="0.3">
      <c r="A23" s="30"/>
    </row>
    <row r="24" spans="1:66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</row>
    <row r="25" spans="1:66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</row>
    <row r="26" spans="1:66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</row>
    <row r="27" spans="1:66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</row>
    <row r="28" spans="1:66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</row>
    <row r="29" spans="1:66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</row>
    <row r="30" spans="1:66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</row>
    <row r="31" spans="1:66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</row>
    <row r="32" spans="1:66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</row>
    <row r="33" spans="1:66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</row>
    <row r="34" spans="1:66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</row>
    <row r="35" spans="1:66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</row>
    <row r="36" spans="1:66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</row>
    <row r="37" spans="1:66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</row>
    <row r="38" spans="1:66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</row>
    <row r="39" spans="1:66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</row>
    <row r="40" spans="1:66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</row>
    <row r="41" spans="1:66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</row>
    <row r="42" spans="1:66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</row>
    <row r="43" spans="1:66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</row>
    <row r="44" spans="1:66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</row>
    <row r="45" spans="1:66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</row>
    <row r="46" spans="1:66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</row>
    <row r="47" spans="1:66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</row>
    <row r="48" spans="1:66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</row>
    <row r="49" spans="1:66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</row>
    <row r="50" spans="1:66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</row>
    <row r="51" spans="1:66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</row>
    <row r="52" spans="1:66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4AE9E-105E-4CC5-9D57-046F14737B69}">
  <dimension ref="A1:AZ17"/>
  <sheetViews>
    <sheetView zoomScale="85" zoomScaleNormal="85" workbookViewId="0">
      <selection activeCell="D41" sqref="D41"/>
    </sheetView>
  </sheetViews>
  <sheetFormatPr defaultColWidth="9" defaultRowHeight="14.4" x14ac:dyDescent="0.3"/>
  <cols>
    <col min="1" max="1" width="9" style="30"/>
  </cols>
  <sheetData>
    <row r="1" spans="1:52" s="30" customFormat="1" x14ac:dyDescent="0.3">
      <c r="A1" s="30" t="s">
        <v>143</v>
      </c>
      <c r="B1" s="30" t="s">
        <v>15</v>
      </c>
      <c r="C1" s="30" t="s">
        <v>16</v>
      </c>
      <c r="D1" s="30" t="s">
        <v>17</v>
      </c>
      <c r="E1" s="30" t="s">
        <v>18</v>
      </c>
      <c r="F1" s="30" t="s">
        <v>19</v>
      </c>
      <c r="G1" s="30" t="s">
        <v>20</v>
      </c>
      <c r="H1" s="30" t="s">
        <v>21</v>
      </c>
      <c r="I1" s="30" t="s">
        <v>22</v>
      </c>
      <c r="J1" s="30" t="s">
        <v>23</v>
      </c>
      <c r="K1" s="30" t="s">
        <v>24</v>
      </c>
      <c r="L1" s="30" t="s">
        <v>25</v>
      </c>
      <c r="M1" s="30" t="s">
        <v>26</v>
      </c>
      <c r="N1" s="30" t="s">
        <v>27</v>
      </c>
      <c r="O1" s="30" t="s">
        <v>28</v>
      </c>
      <c r="P1" s="30" t="s">
        <v>29</v>
      </c>
      <c r="Q1" s="30" t="s">
        <v>30</v>
      </c>
      <c r="R1" s="30" t="s">
        <v>31</v>
      </c>
      <c r="S1" s="30" t="s">
        <v>32</v>
      </c>
      <c r="T1" s="30" t="s">
        <v>33</v>
      </c>
      <c r="U1" s="30" t="s">
        <v>34</v>
      </c>
      <c r="V1" s="30" t="s">
        <v>35</v>
      </c>
      <c r="W1" s="30" t="s">
        <v>36</v>
      </c>
      <c r="X1" s="30" t="s">
        <v>37</v>
      </c>
      <c r="Y1" s="30" t="s">
        <v>38</v>
      </c>
      <c r="Z1" s="30" t="s">
        <v>39</v>
      </c>
      <c r="AA1" s="30" t="s">
        <v>40</v>
      </c>
      <c r="AB1" s="30" t="s">
        <v>41</v>
      </c>
      <c r="AC1" s="30" t="s">
        <v>42</v>
      </c>
      <c r="AD1" s="30" t="s">
        <v>43</v>
      </c>
      <c r="AE1" s="30" t="s">
        <v>44</v>
      </c>
      <c r="AF1" s="30" t="s">
        <v>45</v>
      </c>
      <c r="AG1" s="30" t="s">
        <v>46</v>
      </c>
      <c r="AH1" s="30" t="s">
        <v>47</v>
      </c>
      <c r="AI1" s="30" t="s">
        <v>48</v>
      </c>
      <c r="AJ1" s="30" t="s">
        <v>49</v>
      </c>
      <c r="AK1" s="30" t="s">
        <v>50</v>
      </c>
      <c r="AL1" s="30" t="s">
        <v>51</v>
      </c>
      <c r="AM1" s="30" t="s">
        <v>52</v>
      </c>
      <c r="AN1" s="30" t="s">
        <v>53</v>
      </c>
      <c r="AO1" s="30" t="s">
        <v>54</v>
      </c>
      <c r="AP1" s="30" t="s">
        <v>55</v>
      </c>
      <c r="AQ1" s="30" t="s">
        <v>56</v>
      </c>
      <c r="AR1" s="30" t="s">
        <v>57</v>
      </c>
      <c r="AS1" s="30" t="s">
        <v>58</v>
      </c>
      <c r="AT1" s="30" t="s">
        <v>59</v>
      </c>
      <c r="AU1" s="30" t="s">
        <v>60</v>
      </c>
      <c r="AV1" s="30" t="s">
        <v>61</v>
      </c>
      <c r="AW1" s="30" t="s">
        <v>62</v>
      </c>
      <c r="AX1" s="30" t="s">
        <v>63</v>
      </c>
      <c r="AY1" s="30" t="s">
        <v>64</v>
      </c>
      <c r="AZ1" s="30" t="s">
        <v>65</v>
      </c>
    </row>
    <row r="2" spans="1:52" x14ac:dyDescent="0.3">
      <c r="A2" s="30" t="s">
        <v>1</v>
      </c>
      <c r="B2">
        <v>0</v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1</v>
      </c>
      <c r="O2">
        <v>0</v>
      </c>
      <c r="P2">
        <v>1</v>
      </c>
      <c r="Q2">
        <v>1</v>
      </c>
      <c r="R2">
        <v>0</v>
      </c>
      <c r="S2">
        <v>0</v>
      </c>
      <c r="T2">
        <v>0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1</v>
      </c>
      <c r="AD2">
        <v>0</v>
      </c>
      <c r="AE2">
        <v>0</v>
      </c>
      <c r="AF2">
        <v>0</v>
      </c>
      <c r="AG2">
        <v>1</v>
      </c>
      <c r="AH2">
        <v>0</v>
      </c>
      <c r="AI2">
        <v>1</v>
      </c>
      <c r="AJ2">
        <v>1</v>
      </c>
      <c r="AK2">
        <v>0</v>
      </c>
      <c r="AL2">
        <v>0</v>
      </c>
      <c r="AM2">
        <v>0</v>
      </c>
      <c r="AN2">
        <v>1</v>
      </c>
      <c r="AO2">
        <v>0</v>
      </c>
      <c r="AP2">
        <v>1</v>
      </c>
      <c r="AQ2">
        <v>1</v>
      </c>
      <c r="AR2">
        <v>1</v>
      </c>
      <c r="AS2">
        <v>0</v>
      </c>
      <c r="AT2">
        <v>0</v>
      </c>
      <c r="AU2">
        <v>1</v>
      </c>
      <c r="AV2">
        <v>1</v>
      </c>
      <c r="AW2">
        <v>0</v>
      </c>
      <c r="AX2">
        <v>1</v>
      </c>
      <c r="AY2">
        <v>0</v>
      </c>
      <c r="AZ2">
        <v>0</v>
      </c>
    </row>
    <row r="3" spans="1:52" x14ac:dyDescent="0.3">
      <c r="A3" s="30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>
        <v>0</v>
      </c>
      <c r="Q3">
        <v>1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1</v>
      </c>
      <c r="AH3">
        <v>0</v>
      </c>
      <c r="AI3">
        <v>0</v>
      </c>
      <c r="AJ3">
        <v>1</v>
      </c>
      <c r="AK3">
        <v>1</v>
      </c>
      <c r="AL3">
        <v>1</v>
      </c>
      <c r="AM3">
        <v>1</v>
      </c>
      <c r="AN3">
        <v>0</v>
      </c>
      <c r="AO3">
        <v>1</v>
      </c>
      <c r="AP3">
        <v>0</v>
      </c>
      <c r="AQ3">
        <v>1</v>
      </c>
      <c r="AR3">
        <v>1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1</v>
      </c>
      <c r="AZ3">
        <v>0</v>
      </c>
    </row>
    <row r="4" spans="1:52" x14ac:dyDescent="0.3">
      <c r="A4" s="30" t="s">
        <v>3</v>
      </c>
      <c r="B4">
        <v>1</v>
      </c>
      <c r="C4">
        <v>0</v>
      </c>
      <c r="D4">
        <v>0</v>
      </c>
      <c r="E4">
        <v>1</v>
      </c>
      <c r="F4">
        <v>1</v>
      </c>
      <c r="G4">
        <v>0</v>
      </c>
      <c r="H4">
        <v>0</v>
      </c>
      <c r="I4">
        <v>0</v>
      </c>
      <c r="J4">
        <v>1</v>
      </c>
      <c r="K4">
        <v>1</v>
      </c>
      <c r="L4">
        <v>1</v>
      </c>
      <c r="M4">
        <v>0</v>
      </c>
      <c r="N4">
        <v>1</v>
      </c>
      <c r="O4">
        <v>0</v>
      </c>
      <c r="P4">
        <v>1</v>
      </c>
      <c r="Q4">
        <v>1</v>
      </c>
      <c r="R4">
        <v>0</v>
      </c>
      <c r="S4">
        <v>1</v>
      </c>
      <c r="T4">
        <v>0</v>
      </c>
      <c r="U4">
        <v>1</v>
      </c>
      <c r="V4">
        <v>0</v>
      </c>
      <c r="W4">
        <v>1</v>
      </c>
      <c r="X4">
        <v>0</v>
      </c>
      <c r="Y4">
        <v>0</v>
      </c>
      <c r="Z4">
        <v>0</v>
      </c>
      <c r="AA4">
        <v>0</v>
      </c>
      <c r="AB4">
        <v>1</v>
      </c>
      <c r="AC4">
        <v>1</v>
      </c>
      <c r="AD4">
        <v>0</v>
      </c>
      <c r="AE4">
        <v>0</v>
      </c>
      <c r="AF4">
        <v>0</v>
      </c>
      <c r="AG4">
        <v>1</v>
      </c>
      <c r="AH4">
        <v>1</v>
      </c>
      <c r="AI4">
        <v>0</v>
      </c>
      <c r="AJ4">
        <v>1</v>
      </c>
      <c r="AK4">
        <v>0</v>
      </c>
      <c r="AL4">
        <v>0</v>
      </c>
      <c r="AM4">
        <v>0</v>
      </c>
      <c r="AN4">
        <v>0</v>
      </c>
      <c r="AO4">
        <v>1</v>
      </c>
      <c r="AP4">
        <v>0</v>
      </c>
      <c r="AQ4">
        <v>0</v>
      </c>
      <c r="AR4">
        <v>1</v>
      </c>
      <c r="AS4">
        <v>0</v>
      </c>
      <c r="AT4">
        <v>0</v>
      </c>
      <c r="AU4">
        <v>1</v>
      </c>
      <c r="AV4">
        <v>0</v>
      </c>
      <c r="AW4">
        <v>1</v>
      </c>
      <c r="AX4">
        <v>0</v>
      </c>
      <c r="AY4">
        <v>0</v>
      </c>
      <c r="AZ4">
        <v>1</v>
      </c>
    </row>
    <row r="5" spans="1:52" x14ac:dyDescent="0.3">
      <c r="A5" s="30" t="s">
        <v>4</v>
      </c>
      <c r="B5">
        <v>0</v>
      </c>
      <c r="C5">
        <v>1</v>
      </c>
      <c r="D5">
        <v>0</v>
      </c>
      <c r="E5">
        <v>1</v>
      </c>
      <c r="F5">
        <v>1</v>
      </c>
      <c r="G5">
        <v>0</v>
      </c>
      <c r="H5">
        <v>0</v>
      </c>
      <c r="I5">
        <v>0</v>
      </c>
      <c r="J5">
        <v>1</v>
      </c>
      <c r="K5">
        <v>1</v>
      </c>
      <c r="L5">
        <v>1</v>
      </c>
      <c r="M5">
        <v>0</v>
      </c>
      <c r="N5">
        <v>1</v>
      </c>
      <c r="O5">
        <v>1</v>
      </c>
      <c r="P5">
        <v>0</v>
      </c>
      <c r="Q5">
        <v>1</v>
      </c>
      <c r="R5">
        <v>0</v>
      </c>
      <c r="S5">
        <v>1</v>
      </c>
      <c r="T5">
        <v>1</v>
      </c>
      <c r="U5">
        <v>0</v>
      </c>
      <c r="V5">
        <v>0</v>
      </c>
      <c r="W5">
        <v>1</v>
      </c>
      <c r="X5">
        <v>0</v>
      </c>
      <c r="Y5">
        <v>0</v>
      </c>
      <c r="Z5">
        <v>1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1</v>
      </c>
      <c r="AM5">
        <v>0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0</v>
      </c>
      <c r="AV5">
        <v>0</v>
      </c>
      <c r="AW5">
        <v>0</v>
      </c>
      <c r="AX5">
        <v>0</v>
      </c>
      <c r="AY5">
        <v>1</v>
      </c>
      <c r="AZ5">
        <v>1</v>
      </c>
    </row>
    <row r="6" spans="1:52" x14ac:dyDescent="0.3">
      <c r="A6" s="30" t="s">
        <v>103</v>
      </c>
      <c r="B6">
        <v>1</v>
      </c>
      <c r="C6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0</v>
      </c>
      <c r="N6">
        <v>1</v>
      </c>
      <c r="O6">
        <v>1</v>
      </c>
      <c r="P6">
        <v>0</v>
      </c>
      <c r="Q6">
        <v>1</v>
      </c>
      <c r="R6">
        <v>0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1</v>
      </c>
      <c r="AB6">
        <v>1</v>
      </c>
      <c r="AC6">
        <v>1</v>
      </c>
      <c r="AD6">
        <v>1</v>
      </c>
      <c r="AE6">
        <v>0</v>
      </c>
      <c r="AF6">
        <v>0</v>
      </c>
      <c r="AG6">
        <v>1</v>
      </c>
      <c r="AH6">
        <v>1</v>
      </c>
      <c r="AI6">
        <v>0</v>
      </c>
      <c r="AJ6">
        <v>0</v>
      </c>
      <c r="AK6">
        <v>1</v>
      </c>
      <c r="AL6">
        <v>1</v>
      </c>
      <c r="AM6">
        <v>1</v>
      </c>
      <c r="AN6">
        <v>0</v>
      </c>
      <c r="AO6">
        <v>1</v>
      </c>
      <c r="AP6">
        <v>1</v>
      </c>
      <c r="AQ6">
        <v>1</v>
      </c>
      <c r="AR6">
        <v>1</v>
      </c>
      <c r="AS6">
        <v>1</v>
      </c>
      <c r="AT6">
        <v>0</v>
      </c>
      <c r="AU6">
        <v>1</v>
      </c>
      <c r="AV6">
        <v>1</v>
      </c>
      <c r="AW6">
        <v>0</v>
      </c>
      <c r="AX6">
        <v>0</v>
      </c>
      <c r="AY6">
        <v>0</v>
      </c>
      <c r="AZ6">
        <v>1</v>
      </c>
    </row>
    <row r="7" spans="1:52" x14ac:dyDescent="0.3">
      <c r="A7" s="30" t="s">
        <v>104</v>
      </c>
      <c r="B7">
        <v>0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0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0</v>
      </c>
      <c r="AF7">
        <v>0</v>
      </c>
      <c r="AG7">
        <v>1</v>
      </c>
      <c r="AH7">
        <v>1</v>
      </c>
      <c r="AI7">
        <v>1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</v>
      </c>
      <c r="AQ7">
        <v>0</v>
      </c>
      <c r="AR7">
        <v>1</v>
      </c>
      <c r="AS7">
        <v>0</v>
      </c>
      <c r="AT7">
        <v>0</v>
      </c>
      <c r="AU7">
        <v>1</v>
      </c>
      <c r="AV7">
        <v>0</v>
      </c>
      <c r="AW7">
        <v>0</v>
      </c>
      <c r="AX7">
        <v>0</v>
      </c>
      <c r="AY7">
        <v>1</v>
      </c>
      <c r="AZ7">
        <v>1</v>
      </c>
    </row>
    <row r="8" spans="1:52" x14ac:dyDescent="0.3">
      <c r="A8" s="30" t="s">
        <v>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1</v>
      </c>
      <c r="O8">
        <v>0</v>
      </c>
      <c r="P8">
        <v>0</v>
      </c>
      <c r="Q8">
        <v>1</v>
      </c>
      <c r="R8">
        <v>0</v>
      </c>
      <c r="S8">
        <v>0</v>
      </c>
      <c r="T8">
        <v>0</v>
      </c>
      <c r="U8">
        <v>1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1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1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1</v>
      </c>
    </row>
    <row r="9" spans="1:52" x14ac:dyDescent="0.3">
      <c r="A9" s="30" t="s">
        <v>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1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1</v>
      </c>
      <c r="AC9">
        <v>1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</row>
    <row r="10" spans="1:52" x14ac:dyDescent="0.3">
      <c r="A10" s="30" t="s">
        <v>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0</v>
      </c>
      <c r="N10">
        <v>1</v>
      </c>
      <c r="O10">
        <v>1</v>
      </c>
      <c r="P10">
        <v>0</v>
      </c>
      <c r="Q10">
        <v>1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</row>
    <row r="11" spans="1:52" x14ac:dyDescent="0.3">
      <c r="A11" s="30" t="s">
        <v>8</v>
      </c>
      <c r="B11">
        <v>0</v>
      </c>
      <c r="C11">
        <v>0</v>
      </c>
      <c r="D11">
        <v>0</v>
      </c>
      <c r="E11">
        <v>1</v>
      </c>
      <c r="F11">
        <v>1</v>
      </c>
      <c r="G11">
        <v>0</v>
      </c>
      <c r="H11">
        <v>0</v>
      </c>
      <c r="I11">
        <v>0</v>
      </c>
      <c r="J11">
        <v>1</v>
      </c>
      <c r="K11">
        <v>1</v>
      </c>
      <c r="L11">
        <v>1</v>
      </c>
      <c r="M11">
        <v>0</v>
      </c>
      <c r="N11">
        <v>1</v>
      </c>
      <c r="O11">
        <v>0</v>
      </c>
      <c r="P11">
        <v>1</v>
      </c>
      <c r="Q11">
        <v>1</v>
      </c>
      <c r="R11">
        <v>0</v>
      </c>
      <c r="S11">
        <v>0</v>
      </c>
      <c r="T11">
        <v>0</v>
      </c>
      <c r="U11">
        <v>1</v>
      </c>
      <c r="V11">
        <v>0</v>
      </c>
      <c r="W11">
        <v>1</v>
      </c>
      <c r="X11">
        <v>0</v>
      </c>
      <c r="Y11">
        <v>0</v>
      </c>
      <c r="Z11">
        <v>1</v>
      </c>
      <c r="AA11">
        <v>0</v>
      </c>
      <c r="AB11">
        <v>1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1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1</v>
      </c>
    </row>
    <row r="12" spans="1:52" x14ac:dyDescent="0.3">
      <c r="A12" s="30" t="s">
        <v>9</v>
      </c>
      <c r="B12">
        <v>1</v>
      </c>
      <c r="C12">
        <v>0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1</v>
      </c>
      <c r="O12">
        <v>1</v>
      </c>
      <c r="P12">
        <v>1</v>
      </c>
      <c r="Q12">
        <v>1</v>
      </c>
      <c r="R12">
        <v>0</v>
      </c>
      <c r="S12">
        <v>1</v>
      </c>
      <c r="T12">
        <v>0</v>
      </c>
      <c r="U12">
        <v>1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1</v>
      </c>
      <c r="AC12">
        <v>1</v>
      </c>
      <c r="AD12">
        <v>0</v>
      </c>
      <c r="AE12">
        <v>0</v>
      </c>
      <c r="AF12">
        <v>0</v>
      </c>
      <c r="AG12">
        <v>1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1</v>
      </c>
      <c r="AS12">
        <v>0</v>
      </c>
      <c r="AT12">
        <v>0</v>
      </c>
      <c r="AU12">
        <v>1</v>
      </c>
      <c r="AV12">
        <v>0</v>
      </c>
      <c r="AW12">
        <v>1</v>
      </c>
      <c r="AX12">
        <v>0</v>
      </c>
      <c r="AY12">
        <v>0</v>
      </c>
      <c r="AZ12">
        <v>0</v>
      </c>
    </row>
    <row r="13" spans="1:52" x14ac:dyDescent="0.3">
      <c r="A13" s="30" t="s">
        <v>10</v>
      </c>
      <c r="B13">
        <v>0</v>
      </c>
      <c r="C13">
        <v>0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0</v>
      </c>
      <c r="U13">
        <v>1</v>
      </c>
      <c r="V13">
        <v>0</v>
      </c>
      <c r="W13">
        <v>1</v>
      </c>
      <c r="X13">
        <v>0</v>
      </c>
      <c r="Y13">
        <v>0</v>
      </c>
      <c r="Z13">
        <v>1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1</v>
      </c>
      <c r="AQ13">
        <v>1</v>
      </c>
      <c r="AR13">
        <v>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1</v>
      </c>
    </row>
    <row r="14" spans="1:52" x14ac:dyDescent="0.3">
      <c r="A14" s="30" t="s">
        <v>11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1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1</v>
      </c>
    </row>
    <row r="15" spans="1:52" x14ac:dyDescent="0.3">
      <c r="A15" s="30" t="s">
        <v>12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0</v>
      </c>
      <c r="P15">
        <v>0</v>
      </c>
      <c r="Q15">
        <v>1</v>
      </c>
      <c r="R15">
        <v>0</v>
      </c>
      <c r="S15">
        <v>1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1</v>
      </c>
      <c r="AQ15">
        <v>1</v>
      </c>
      <c r="AR15">
        <v>1</v>
      </c>
      <c r="AS15">
        <v>0</v>
      </c>
      <c r="AT15">
        <v>0</v>
      </c>
      <c r="AU15">
        <v>0</v>
      </c>
      <c r="AV15">
        <v>0</v>
      </c>
      <c r="AW15">
        <v>1</v>
      </c>
      <c r="AX15">
        <v>0</v>
      </c>
      <c r="AY15">
        <v>1</v>
      </c>
      <c r="AZ15">
        <v>1</v>
      </c>
    </row>
    <row r="16" spans="1:52" x14ac:dyDescent="0.3">
      <c r="A16" s="30" t="s">
        <v>13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1</v>
      </c>
      <c r="O16">
        <v>0</v>
      </c>
      <c r="P16">
        <v>0</v>
      </c>
      <c r="Q16">
        <v>1</v>
      </c>
      <c r="R16">
        <v>0</v>
      </c>
      <c r="S16">
        <v>1</v>
      </c>
      <c r="T16">
        <v>0</v>
      </c>
      <c r="U16">
        <v>1</v>
      </c>
      <c r="V16">
        <v>1</v>
      </c>
      <c r="W16">
        <v>0</v>
      </c>
      <c r="X16">
        <v>0</v>
      </c>
      <c r="Y16">
        <v>0</v>
      </c>
      <c r="Z16">
        <v>1</v>
      </c>
      <c r="AA16">
        <v>0</v>
      </c>
      <c r="AB16">
        <v>1</v>
      </c>
      <c r="AC16">
        <v>1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1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1</v>
      </c>
      <c r="AP16">
        <v>1</v>
      </c>
      <c r="AQ16">
        <v>1</v>
      </c>
      <c r="AR16">
        <v>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</row>
    <row r="17" spans="1:52" x14ac:dyDescent="0.3">
      <c r="A17" s="30" t="s">
        <v>14</v>
      </c>
      <c r="B17">
        <v>1</v>
      </c>
      <c r="C17">
        <v>1</v>
      </c>
      <c r="D17">
        <v>0</v>
      </c>
      <c r="E17">
        <v>1</v>
      </c>
      <c r="F17">
        <v>1</v>
      </c>
      <c r="G17">
        <v>0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0</v>
      </c>
      <c r="S17">
        <v>1</v>
      </c>
      <c r="T17">
        <v>1</v>
      </c>
      <c r="U17">
        <v>1</v>
      </c>
      <c r="V17">
        <v>0</v>
      </c>
      <c r="W17">
        <v>1</v>
      </c>
      <c r="X17">
        <v>1</v>
      </c>
      <c r="Y17">
        <v>0</v>
      </c>
      <c r="Z17">
        <v>0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0</v>
      </c>
      <c r="AJ17">
        <v>0</v>
      </c>
      <c r="AK17">
        <v>1</v>
      </c>
      <c r="AL17">
        <v>1</v>
      </c>
      <c r="AM17">
        <v>1</v>
      </c>
      <c r="AN17">
        <v>0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0</v>
      </c>
      <c r="AX17">
        <v>1</v>
      </c>
      <c r="AY17">
        <v>1</v>
      </c>
      <c r="AZ17">
        <v>1</v>
      </c>
    </row>
  </sheetData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684D5-BFAB-4185-8006-0DE77D73D25A}">
  <dimension ref="A1:D52"/>
  <sheetViews>
    <sheetView workbookViewId="0">
      <selection activeCell="C8" sqref="C8"/>
    </sheetView>
  </sheetViews>
  <sheetFormatPr defaultRowHeight="14.4" x14ac:dyDescent="0.3"/>
  <cols>
    <col min="1" max="1" width="13.5546875" bestFit="1" customWidth="1"/>
    <col min="2" max="2" width="8.33203125" bestFit="1" customWidth="1"/>
    <col min="3" max="3" width="17.44140625" bestFit="1" customWidth="1"/>
    <col min="4" max="4" width="20.21875" bestFit="1" customWidth="1"/>
  </cols>
  <sheetData>
    <row r="1" spans="1:4" x14ac:dyDescent="0.3">
      <c r="A1" s="29" t="s">
        <v>143</v>
      </c>
      <c r="B1" s="8" t="s">
        <v>144</v>
      </c>
      <c r="C1" s="30" t="s">
        <v>148</v>
      </c>
      <c r="D1" s="30" t="s">
        <v>149</v>
      </c>
    </row>
    <row r="2" spans="1:4" x14ac:dyDescent="0.3">
      <c r="A2" s="28" t="s">
        <v>1</v>
      </c>
      <c r="B2" s="7">
        <v>35</v>
      </c>
      <c r="C2">
        <v>20</v>
      </c>
      <c r="D2">
        <v>106</v>
      </c>
    </row>
    <row r="3" spans="1:4" x14ac:dyDescent="0.3">
      <c r="A3" s="28" t="s">
        <v>2</v>
      </c>
      <c r="B3" s="7">
        <v>365</v>
      </c>
      <c r="C3">
        <v>14</v>
      </c>
      <c r="D3">
        <v>83</v>
      </c>
    </row>
    <row r="4" spans="1:4" x14ac:dyDescent="0.3">
      <c r="A4" s="28" t="s">
        <v>3</v>
      </c>
      <c r="B4" s="7">
        <v>40</v>
      </c>
      <c r="C4">
        <v>22</v>
      </c>
      <c r="D4">
        <v>522</v>
      </c>
    </row>
    <row r="5" spans="1:4" x14ac:dyDescent="0.3">
      <c r="A5" s="28" t="s">
        <v>4</v>
      </c>
      <c r="B5" s="7">
        <v>10</v>
      </c>
      <c r="C5">
        <v>25</v>
      </c>
      <c r="D5">
        <v>298</v>
      </c>
    </row>
    <row r="6" spans="1:4" x14ac:dyDescent="0.3">
      <c r="A6" s="28" t="s">
        <v>103</v>
      </c>
      <c r="B6" s="7">
        <v>530</v>
      </c>
      <c r="C6">
        <v>29</v>
      </c>
      <c r="D6">
        <v>571</v>
      </c>
    </row>
    <row r="7" spans="1:4" x14ac:dyDescent="0.3">
      <c r="A7" s="28" t="s">
        <v>104</v>
      </c>
      <c r="B7" s="7">
        <v>75</v>
      </c>
      <c r="C7">
        <v>16</v>
      </c>
      <c r="D7">
        <v>255</v>
      </c>
    </row>
    <row r="8" spans="1:4" x14ac:dyDescent="0.3">
      <c r="A8" s="28" t="s">
        <v>5</v>
      </c>
      <c r="B8" s="7">
        <v>40</v>
      </c>
      <c r="C8">
        <v>11</v>
      </c>
      <c r="D8">
        <v>254</v>
      </c>
    </row>
    <row r="9" spans="1:4" x14ac:dyDescent="0.3">
      <c r="A9" s="28" t="s">
        <v>6</v>
      </c>
      <c r="B9" s="7">
        <v>3</v>
      </c>
      <c r="C9">
        <v>6</v>
      </c>
      <c r="D9">
        <v>11</v>
      </c>
    </row>
    <row r="10" spans="1:4" x14ac:dyDescent="0.3">
      <c r="A10" s="28" t="s">
        <v>7</v>
      </c>
      <c r="B10" s="7">
        <v>0</v>
      </c>
      <c r="C10">
        <v>13</v>
      </c>
      <c r="D10">
        <v>61</v>
      </c>
    </row>
    <row r="11" spans="1:4" x14ac:dyDescent="0.3">
      <c r="A11" s="28" t="s">
        <v>8</v>
      </c>
      <c r="B11" s="7">
        <v>0</v>
      </c>
      <c r="C11">
        <v>18</v>
      </c>
      <c r="D11">
        <v>170</v>
      </c>
    </row>
    <row r="12" spans="1:4" x14ac:dyDescent="0.3">
      <c r="A12" s="28" t="s">
        <v>9</v>
      </c>
      <c r="B12" s="7">
        <v>130</v>
      </c>
      <c r="C12">
        <v>18</v>
      </c>
      <c r="D12">
        <v>143</v>
      </c>
    </row>
    <row r="13" spans="1:4" x14ac:dyDescent="0.3">
      <c r="A13" s="28" t="s">
        <v>10</v>
      </c>
      <c r="B13" s="7">
        <v>1</v>
      </c>
      <c r="C13">
        <v>17</v>
      </c>
      <c r="D13">
        <v>133</v>
      </c>
    </row>
    <row r="14" spans="1:4" x14ac:dyDescent="0.3">
      <c r="A14" s="28" t="s">
        <v>11</v>
      </c>
      <c r="B14" s="7">
        <v>0</v>
      </c>
      <c r="C14">
        <v>9</v>
      </c>
      <c r="D14">
        <v>25</v>
      </c>
    </row>
    <row r="15" spans="1:4" x14ac:dyDescent="0.3">
      <c r="A15" s="28" t="s">
        <v>12</v>
      </c>
      <c r="B15" s="7">
        <v>20</v>
      </c>
      <c r="C15">
        <v>12</v>
      </c>
      <c r="D15">
        <v>169</v>
      </c>
    </row>
    <row r="16" spans="1:4" x14ac:dyDescent="0.3">
      <c r="A16" s="28" t="s">
        <v>13</v>
      </c>
      <c r="B16" s="7">
        <v>160</v>
      </c>
      <c r="C16">
        <v>16</v>
      </c>
      <c r="D16">
        <v>202</v>
      </c>
    </row>
    <row r="17" spans="1:4" x14ac:dyDescent="0.3">
      <c r="A17" s="28" t="s">
        <v>14</v>
      </c>
      <c r="B17" s="7">
        <v>465</v>
      </c>
      <c r="C17">
        <v>41</v>
      </c>
      <c r="D17">
        <v>584</v>
      </c>
    </row>
    <row r="18" spans="1:4" x14ac:dyDescent="0.3">
      <c r="A18" s="5"/>
    </row>
    <row r="19" spans="1:4" x14ac:dyDescent="0.3">
      <c r="A19" s="5"/>
    </row>
    <row r="20" spans="1:4" x14ac:dyDescent="0.3">
      <c r="A20" s="5"/>
    </row>
    <row r="21" spans="1:4" x14ac:dyDescent="0.3">
      <c r="A21" s="5"/>
    </row>
    <row r="22" spans="1:4" x14ac:dyDescent="0.3">
      <c r="A22" s="5"/>
    </row>
    <row r="23" spans="1:4" x14ac:dyDescent="0.3">
      <c r="A23" s="5"/>
    </row>
    <row r="24" spans="1:4" x14ac:dyDescent="0.3">
      <c r="A24" s="5"/>
    </row>
    <row r="25" spans="1:4" x14ac:dyDescent="0.3">
      <c r="A25" s="5"/>
    </row>
    <row r="26" spans="1:4" x14ac:dyDescent="0.3">
      <c r="A26" s="5"/>
    </row>
    <row r="27" spans="1:4" x14ac:dyDescent="0.3">
      <c r="A27" s="5"/>
    </row>
    <row r="28" spans="1:4" x14ac:dyDescent="0.3">
      <c r="A28" s="5"/>
    </row>
    <row r="29" spans="1:4" x14ac:dyDescent="0.3">
      <c r="A29" s="5"/>
    </row>
    <row r="30" spans="1:4" x14ac:dyDescent="0.3">
      <c r="A30" s="5"/>
    </row>
    <row r="31" spans="1:4" x14ac:dyDescent="0.3">
      <c r="A31" s="5"/>
    </row>
    <row r="32" spans="1:4" x14ac:dyDescent="0.3">
      <c r="A32" s="5"/>
    </row>
    <row r="33" spans="1:1" x14ac:dyDescent="0.3">
      <c r="A33" s="5"/>
    </row>
    <row r="34" spans="1:1" x14ac:dyDescent="0.3">
      <c r="A34" s="5"/>
    </row>
    <row r="35" spans="1:1" x14ac:dyDescent="0.3">
      <c r="A35" s="5"/>
    </row>
    <row r="36" spans="1:1" x14ac:dyDescent="0.3">
      <c r="A36" s="5"/>
    </row>
    <row r="37" spans="1:1" x14ac:dyDescent="0.3">
      <c r="A37" s="5"/>
    </row>
    <row r="38" spans="1:1" x14ac:dyDescent="0.3">
      <c r="A38" s="5"/>
    </row>
    <row r="39" spans="1:1" x14ac:dyDescent="0.3">
      <c r="A39" s="5"/>
    </row>
    <row r="40" spans="1:1" x14ac:dyDescent="0.3">
      <c r="A40" s="5"/>
    </row>
    <row r="41" spans="1:1" x14ac:dyDescent="0.3">
      <c r="A41" s="5"/>
    </row>
    <row r="42" spans="1:1" x14ac:dyDescent="0.3">
      <c r="A42" s="5"/>
    </row>
    <row r="43" spans="1:1" x14ac:dyDescent="0.3">
      <c r="A43" s="5"/>
    </row>
    <row r="44" spans="1:1" x14ac:dyDescent="0.3">
      <c r="A44" s="5"/>
    </row>
    <row r="45" spans="1:1" x14ac:dyDescent="0.3">
      <c r="A45" s="5"/>
    </row>
    <row r="46" spans="1:1" x14ac:dyDescent="0.3">
      <c r="A46" s="5"/>
    </row>
    <row r="47" spans="1:1" x14ac:dyDescent="0.3">
      <c r="A47" s="5"/>
    </row>
    <row r="48" spans="1:1" x14ac:dyDescent="0.3">
      <c r="A48" s="5"/>
    </row>
    <row r="49" spans="1:1" x14ac:dyDescent="0.3">
      <c r="A49" s="5"/>
    </row>
    <row r="50" spans="1:1" x14ac:dyDescent="0.3">
      <c r="A50" s="5"/>
    </row>
    <row r="51" spans="1:1" x14ac:dyDescent="0.3">
      <c r="A51" s="5"/>
    </row>
    <row r="52" spans="1:1" x14ac:dyDescent="0.3">
      <c r="A52" s="5"/>
    </row>
  </sheetData>
  <pageMargins left="0.7" right="0.7" top="0.75" bottom="0.75" header="0.3" footer="0.3"/>
  <pageSetup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2BD04-ED78-4AFB-AF7C-7044ABECCA19}">
  <dimension ref="A1:M17"/>
  <sheetViews>
    <sheetView zoomScale="85" zoomScaleNormal="85" workbookViewId="0">
      <selection activeCell="K2" sqref="K2"/>
    </sheetView>
  </sheetViews>
  <sheetFormatPr defaultColWidth="9.109375" defaultRowHeight="14.4" x14ac:dyDescent="0.3"/>
  <cols>
    <col min="1" max="1" width="12.21875" style="6" customWidth="1"/>
    <col min="2" max="2" width="5.88671875" style="6" bestFit="1" customWidth="1"/>
    <col min="3" max="3" width="8.33203125" style="6" bestFit="1" customWidth="1"/>
    <col min="4" max="4" width="12.5546875" style="6" bestFit="1" customWidth="1"/>
    <col min="5" max="5" width="8.5546875" style="6" bestFit="1" customWidth="1"/>
    <col min="6" max="6" width="10.109375" style="6" customWidth="1"/>
    <col min="7" max="7" width="9.109375" style="6"/>
    <col min="8" max="8" width="15.33203125" style="6" bestFit="1" customWidth="1"/>
    <col min="9" max="9" width="9.109375" style="6"/>
    <col min="10" max="10" width="13.33203125" bestFit="1" customWidth="1"/>
    <col min="11" max="11" width="6.44140625" style="6" bestFit="1" customWidth="1"/>
    <col min="12" max="12" width="9.109375" style="6"/>
    <col min="13" max="13" width="17.21875" bestFit="1" customWidth="1"/>
    <col min="14" max="16384" width="9.109375" style="6"/>
  </cols>
  <sheetData>
    <row r="1" spans="1:13" s="8" customFormat="1" ht="43.2" x14ac:dyDescent="0.3">
      <c r="A1" s="8" t="s">
        <v>143</v>
      </c>
      <c r="B1" s="8" t="s">
        <v>157</v>
      </c>
      <c r="C1" s="8" t="s">
        <v>144</v>
      </c>
      <c r="D1" s="8" t="s">
        <v>154</v>
      </c>
      <c r="E1" s="8" t="s">
        <v>146</v>
      </c>
      <c r="F1" s="8" t="s">
        <v>147</v>
      </c>
      <c r="G1" s="8" t="s">
        <v>150</v>
      </c>
      <c r="H1" s="8" t="s">
        <v>151</v>
      </c>
      <c r="I1" s="8" t="s">
        <v>152</v>
      </c>
      <c r="J1" s="30" t="s">
        <v>155</v>
      </c>
      <c r="K1" s="8" t="s">
        <v>145</v>
      </c>
      <c r="L1" s="8" t="s">
        <v>153</v>
      </c>
      <c r="M1" s="30" t="s">
        <v>156</v>
      </c>
    </row>
    <row r="2" spans="1:13" x14ac:dyDescent="0.3">
      <c r="A2" s="7" t="s">
        <v>1</v>
      </c>
      <c r="B2" s="7">
        <v>1</v>
      </c>
      <c r="C2" s="7">
        <v>35</v>
      </c>
      <c r="D2" s="31">
        <v>3800.161180792204</v>
      </c>
      <c r="E2" s="6">
        <v>25</v>
      </c>
      <c r="F2" s="7">
        <v>0.5</v>
      </c>
      <c r="G2" s="6">
        <v>0</v>
      </c>
      <c r="H2" s="6">
        <v>0</v>
      </c>
      <c r="I2" s="6">
        <v>0</v>
      </c>
      <c r="J2">
        <v>0</v>
      </c>
      <c r="K2" s="6">
        <v>85</v>
      </c>
      <c r="L2" s="6">
        <v>0</v>
      </c>
      <c r="M2">
        <v>0</v>
      </c>
    </row>
    <row r="3" spans="1:13" x14ac:dyDescent="0.3">
      <c r="A3" s="7" t="s">
        <v>2</v>
      </c>
      <c r="B3" s="7">
        <v>1</v>
      </c>
      <c r="C3" s="7">
        <v>365</v>
      </c>
      <c r="D3" s="31">
        <v>2111.782422504743</v>
      </c>
      <c r="E3" s="6">
        <v>20</v>
      </c>
      <c r="F3" s="6">
        <v>1</v>
      </c>
      <c r="G3" s="6">
        <v>0</v>
      </c>
      <c r="H3" s="6">
        <v>0</v>
      </c>
      <c r="I3" s="6">
        <v>0</v>
      </c>
      <c r="J3">
        <v>1</v>
      </c>
      <c r="K3" s="6">
        <v>100</v>
      </c>
      <c r="L3" s="6">
        <v>80</v>
      </c>
      <c r="M3">
        <v>0</v>
      </c>
    </row>
    <row r="4" spans="1:13" x14ac:dyDescent="0.3">
      <c r="A4" s="7" t="s">
        <v>3</v>
      </c>
      <c r="B4" s="7">
        <v>1</v>
      </c>
      <c r="C4" s="7">
        <v>40</v>
      </c>
      <c r="D4" s="31">
        <v>601.33185513491628</v>
      </c>
      <c r="E4" s="6">
        <v>15</v>
      </c>
      <c r="F4" s="6">
        <v>0.5</v>
      </c>
      <c r="G4" s="6">
        <v>1</v>
      </c>
      <c r="H4" s="6">
        <v>1</v>
      </c>
      <c r="I4" s="6">
        <v>0</v>
      </c>
      <c r="J4">
        <v>1</v>
      </c>
      <c r="K4" s="6">
        <v>80</v>
      </c>
      <c r="L4" s="6">
        <v>50</v>
      </c>
      <c r="M4">
        <v>20</v>
      </c>
    </row>
    <row r="5" spans="1:13" x14ac:dyDescent="0.3">
      <c r="A5" s="7" t="s">
        <v>4</v>
      </c>
      <c r="B5" s="7">
        <v>2</v>
      </c>
      <c r="C5" s="7">
        <v>10</v>
      </c>
      <c r="D5" s="6">
        <v>0</v>
      </c>
      <c r="E5" s="6">
        <v>0</v>
      </c>
      <c r="F5" s="6">
        <v>1</v>
      </c>
      <c r="G5" s="6">
        <v>0</v>
      </c>
      <c r="H5" s="6">
        <v>1</v>
      </c>
      <c r="I5" s="6">
        <v>0</v>
      </c>
      <c r="J5">
        <v>1</v>
      </c>
      <c r="K5" s="6">
        <v>0</v>
      </c>
      <c r="L5" s="6">
        <v>30</v>
      </c>
      <c r="M5">
        <v>30</v>
      </c>
    </row>
    <row r="6" spans="1:13" x14ac:dyDescent="0.3">
      <c r="A6" s="7" t="s">
        <v>103</v>
      </c>
      <c r="B6" s="7">
        <v>2</v>
      </c>
      <c r="C6" s="7">
        <v>530</v>
      </c>
      <c r="D6" s="31">
        <v>3046.4569585011373</v>
      </c>
      <c r="E6" s="6">
        <v>0</v>
      </c>
      <c r="F6" s="7">
        <v>0.5</v>
      </c>
      <c r="G6" s="6">
        <v>0</v>
      </c>
      <c r="H6" s="6">
        <v>1</v>
      </c>
      <c r="I6" s="6">
        <v>0</v>
      </c>
      <c r="J6">
        <v>1</v>
      </c>
      <c r="K6" s="6">
        <v>0</v>
      </c>
      <c r="L6" s="6">
        <v>30</v>
      </c>
      <c r="M6">
        <v>0</v>
      </c>
    </row>
    <row r="7" spans="1:13" x14ac:dyDescent="0.3">
      <c r="A7" s="7" t="s">
        <v>104</v>
      </c>
      <c r="B7" s="7">
        <v>2</v>
      </c>
      <c r="C7" s="7">
        <v>75</v>
      </c>
      <c r="D7" s="31">
        <v>406.97051490249265</v>
      </c>
      <c r="E7" s="6">
        <v>0</v>
      </c>
      <c r="F7" s="7">
        <v>1</v>
      </c>
      <c r="G7" s="6">
        <v>1</v>
      </c>
      <c r="H7" s="6">
        <v>1</v>
      </c>
      <c r="I7" s="6">
        <v>0</v>
      </c>
      <c r="J7">
        <v>0</v>
      </c>
      <c r="K7" s="6">
        <v>5</v>
      </c>
      <c r="L7" s="6">
        <v>20</v>
      </c>
      <c r="M7">
        <v>30</v>
      </c>
    </row>
    <row r="8" spans="1:13" x14ac:dyDescent="0.3">
      <c r="A8" s="7" t="s">
        <v>5</v>
      </c>
      <c r="B8" s="7">
        <v>2</v>
      </c>
      <c r="C8" s="7">
        <v>40</v>
      </c>
      <c r="D8" s="31">
        <v>3000.2666548158682</v>
      </c>
      <c r="E8" s="6">
        <v>0</v>
      </c>
      <c r="F8" s="6">
        <v>0.5</v>
      </c>
      <c r="G8" s="6">
        <v>0</v>
      </c>
      <c r="H8" s="6">
        <v>0</v>
      </c>
      <c r="I8" s="6">
        <v>0</v>
      </c>
      <c r="J8">
        <v>0</v>
      </c>
      <c r="K8" s="6">
        <v>0</v>
      </c>
      <c r="L8" s="6">
        <v>15</v>
      </c>
      <c r="M8">
        <v>60</v>
      </c>
    </row>
    <row r="9" spans="1:13" x14ac:dyDescent="0.3">
      <c r="A9" s="7" t="s">
        <v>6</v>
      </c>
      <c r="B9" s="7">
        <v>2</v>
      </c>
      <c r="C9" s="7">
        <v>0</v>
      </c>
      <c r="D9" s="6">
        <v>0</v>
      </c>
      <c r="E9" s="6">
        <v>0</v>
      </c>
      <c r="F9" s="6">
        <v>1</v>
      </c>
      <c r="G9" s="6">
        <v>0</v>
      </c>
      <c r="H9" s="6">
        <v>0</v>
      </c>
      <c r="I9" s="6">
        <v>0</v>
      </c>
      <c r="J9">
        <v>0</v>
      </c>
      <c r="K9" s="6">
        <v>0</v>
      </c>
      <c r="L9" s="6">
        <v>0</v>
      </c>
      <c r="M9">
        <v>0</v>
      </c>
    </row>
    <row r="10" spans="1:13" x14ac:dyDescent="0.3">
      <c r="A10" s="7" t="s">
        <v>7</v>
      </c>
      <c r="B10" s="7">
        <v>3</v>
      </c>
      <c r="C10" s="7">
        <v>0</v>
      </c>
      <c r="D10" s="6">
        <v>0</v>
      </c>
      <c r="E10" s="6">
        <v>0</v>
      </c>
      <c r="F10" s="6">
        <v>0.5</v>
      </c>
      <c r="G10" s="6">
        <v>0</v>
      </c>
      <c r="H10" s="6">
        <v>0</v>
      </c>
      <c r="I10" s="6">
        <v>0</v>
      </c>
      <c r="J10">
        <v>0</v>
      </c>
      <c r="K10" s="6">
        <v>0</v>
      </c>
      <c r="L10" s="6">
        <v>90</v>
      </c>
      <c r="M10">
        <v>0</v>
      </c>
    </row>
    <row r="11" spans="1:13" x14ac:dyDescent="0.3">
      <c r="A11" s="7" t="s">
        <v>8</v>
      </c>
      <c r="B11" s="7">
        <v>3</v>
      </c>
      <c r="C11" s="7">
        <v>0</v>
      </c>
      <c r="D11" s="6">
        <v>0</v>
      </c>
      <c r="E11" s="6">
        <v>25</v>
      </c>
      <c r="F11" s="6">
        <v>1</v>
      </c>
      <c r="G11" s="6">
        <v>0</v>
      </c>
      <c r="H11" s="6">
        <v>1</v>
      </c>
      <c r="I11" s="6">
        <v>0</v>
      </c>
      <c r="J11">
        <v>0</v>
      </c>
      <c r="K11" s="6">
        <v>50</v>
      </c>
      <c r="L11" s="6">
        <v>80</v>
      </c>
      <c r="M11">
        <v>0</v>
      </c>
    </row>
    <row r="12" spans="1:13" x14ac:dyDescent="0.3">
      <c r="A12" s="7" t="s">
        <v>9</v>
      </c>
      <c r="B12" s="7">
        <v>3</v>
      </c>
      <c r="C12" s="7">
        <v>130</v>
      </c>
      <c r="D12" s="6">
        <v>0</v>
      </c>
      <c r="E12" s="6">
        <v>25</v>
      </c>
      <c r="F12" s="6">
        <v>1</v>
      </c>
      <c r="G12" s="6">
        <v>1</v>
      </c>
      <c r="H12" s="6">
        <v>1</v>
      </c>
      <c r="I12" s="6">
        <v>0</v>
      </c>
      <c r="J12">
        <v>0</v>
      </c>
      <c r="K12" s="6">
        <v>90</v>
      </c>
      <c r="L12" s="6">
        <v>100</v>
      </c>
      <c r="M12">
        <v>0</v>
      </c>
    </row>
    <row r="13" spans="1:13" x14ac:dyDescent="0.3">
      <c r="A13" s="7" t="s">
        <v>10</v>
      </c>
      <c r="B13" s="7">
        <v>3</v>
      </c>
      <c r="C13" s="7">
        <v>1</v>
      </c>
      <c r="D13" s="6">
        <v>0</v>
      </c>
      <c r="E13" s="6">
        <v>0</v>
      </c>
      <c r="F13" s="6">
        <v>1</v>
      </c>
      <c r="G13" s="6">
        <v>1</v>
      </c>
      <c r="H13" s="6">
        <v>1</v>
      </c>
      <c r="I13" s="6">
        <v>0</v>
      </c>
      <c r="J13">
        <v>0</v>
      </c>
      <c r="K13" s="6">
        <v>5</v>
      </c>
      <c r="L13" s="6">
        <v>40</v>
      </c>
      <c r="M13">
        <v>40</v>
      </c>
    </row>
    <row r="14" spans="1:13" x14ac:dyDescent="0.3">
      <c r="A14" s="7" t="s">
        <v>11</v>
      </c>
      <c r="B14" s="7">
        <v>3</v>
      </c>
      <c r="C14" s="7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>
        <v>0</v>
      </c>
      <c r="K14" s="6">
        <v>0</v>
      </c>
      <c r="L14" s="6">
        <v>0</v>
      </c>
      <c r="M14">
        <v>0</v>
      </c>
    </row>
    <row r="15" spans="1:13" x14ac:dyDescent="0.3">
      <c r="A15" s="7" t="s">
        <v>12</v>
      </c>
      <c r="B15" s="7">
        <v>4</v>
      </c>
      <c r="C15" s="7">
        <v>20</v>
      </c>
      <c r="D15" s="31">
        <v>200.9975124224178</v>
      </c>
      <c r="E15" s="6">
        <v>18</v>
      </c>
      <c r="F15" s="6">
        <v>0.5</v>
      </c>
      <c r="G15" s="6">
        <v>1</v>
      </c>
      <c r="H15" s="6">
        <v>0</v>
      </c>
      <c r="I15" s="6">
        <v>1</v>
      </c>
      <c r="J15">
        <v>1</v>
      </c>
      <c r="K15" s="6">
        <v>30</v>
      </c>
      <c r="L15" s="6">
        <v>0</v>
      </c>
      <c r="M15">
        <v>100</v>
      </c>
    </row>
    <row r="16" spans="1:13" x14ac:dyDescent="0.3">
      <c r="A16" s="7" t="s">
        <v>13</v>
      </c>
      <c r="B16" s="7">
        <v>4</v>
      </c>
      <c r="C16" s="7">
        <v>160</v>
      </c>
      <c r="D16" s="31">
        <v>2006.3897926375123</v>
      </c>
      <c r="E16" s="6">
        <v>10</v>
      </c>
      <c r="F16" s="6">
        <v>0.5</v>
      </c>
      <c r="G16" s="6">
        <v>1</v>
      </c>
      <c r="H16" s="6">
        <v>1</v>
      </c>
      <c r="I16" s="6">
        <v>1</v>
      </c>
      <c r="J16">
        <v>1</v>
      </c>
      <c r="K16" s="6">
        <v>30</v>
      </c>
      <c r="L16" s="6">
        <v>0</v>
      </c>
      <c r="M16">
        <v>100</v>
      </c>
    </row>
    <row r="17" spans="1:13" x14ac:dyDescent="0.3">
      <c r="A17" s="7" t="s">
        <v>14</v>
      </c>
      <c r="B17" s="7">
        <v>5</v>
      </c>
      <c r="C17" s="7">
        <v>465</v>
      </c>
      <c r="D17" s="31">
        <v>3729.1051205349522</v>
      </c>
      <c r="E17" s="6">
        <v>20</v>
      </c>
      <c r="F17" s="6">
        <v>1</v>
      </c>
      <c r="G17" s="6">
        <v>1</v>
      </c>
      <c r="H17" s="6">
        <v>1</v>
      </c>
      <c r="I17" s="6">
        <v>0</v>
      </c>
      <c r="J17">
        <v>1</v>
      </c>
      <c r="K17" s="6">
        <v>40</v>
      </c>
      <c r="L17" s="6">
        <v>15</v>
      </c>
      <c r="M17">
        <v>70</v>
      </c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A59F4-9723-410A-A7E8-865C3A61E8F1}">
  <dimension ref="A1:W52"/>
  <sheetViews>
    <sheetView workbookViewId="0">
      <selection activeCell="Y4" sqref="Y4"/>
    </sheetView>
  </sheetViews>
  <sheetFormatPr defaultRowHeight="14.4" x14ac:dyDescent="0.3"/>
  <cols>
    <col min="1" max="1" width="14.44140625" bestFit="1" customWidth="1"/>
    <col min="2" max="3" width="5.88671875" bestFit="1" customWidth="1"/>
    <col min="4" max="5" width="6.33203125" bestFit="1" customWidth="1"/>
    <col min="6" max="6" width="7.6640625" bestFit="1" customWidth="1"/>
    <col min="7" max="7" width="7.109375" bestFit="1" customWidth="1"/>
    <col min="8" max="8" width="5.88671875" bestFit="1" customWidth="1"/>
    <col min="9" max="9" width="6.44140625" bestFit="1" customWidth="1"/>
    <col min="10" max="10" width="6.33203125" bestFit="1" customWidth="1"/>
    <col min="11" max="11" width="7.21875" bestFit="1" customWidth="1"/>
    <col min="12" max="12" width="8.5546875" bestFit="1" customWidth="1"/>
    <col min="13" max="13" width="6.33203125" bestFit="1" customWidth="1"/>
    <col min="14" max="14" width="6" bestFit="1" customWidth="1"/>
    <col min="15" max="15" width="7.109375" bestFit="1" customWidth="1"/>
    <col min="16" max="16" width="5.88671875" bestFit="1" customWidth="1"/>
    <col min="17" max="17" width="6" bestFit="1" customWidth="1"/>
    <col min="18" max="18" width="7.109375" bestFit="1" customWidth="1"/>
    <col min="19" max="19" width="6" bestFit="1" customWidth="1"/>
    <col min="20" max="20" width="7.77734375" bestFit="1" customWidth="1"/>
    <col min="21" max="21" width="7.44140625" bestFit="1" customWidth="1"/>
    <col min="22" max="22" width="6.88671875" bestFit="1" customWidth="1"/>
    <col min="23" max="23" width="7.44140625" bestFit="1" customWidth="1"/>
  </cols>
  <sheetData>
    <row r="1" spans="1:23" x14ac:dyDescent="0.3">
      <c r="A1" s="29" t="s">
        <v>143</v>
      </c>
      <c r="B1" t="s">
        <v>57</v>
      </c>
      <c r="C1" t="s">
        <v>58</v>
      </c>
      <c r="D1" t="s">
        <v>42</v>
      </c>
      <c r="E1" t="s">
        <v>23</v>
      </c>
      <c r="F1" t="s">
        <v>25</v>
      </c>
      <c r="G1" t="s">
        <v>19</v>
      </c>
      <c r="H1" t="s">
        <v>29</v>
      </c>
      <c r="I1" t="s">
        <v>36</v>
      </c>
      <c r="J1" t="s">
        <v>52</v>
      </c>
      <c r="K1" t="s">
        <v>51</v>
      </c>
      <c r="L1" t="s">
        <v>34</v>
      </c>
      <c r="M1" t="s">
        <v>56</v>
      </c>
      <c r="N1" t="s">
        <v>55</v>
      </c>
      <c r="O1" t="s">
        <v>43</v>
      </c>
      <c r="P1" t="s">
        <v>39</v>
      </c>
      <c r="Q1" t="s">
        <v>50</v>
      </c>
      <c r="R1" t="s">
        <v>62</v>
      </c>
      <c r="S1" t="s">
        <v>48</v>
      </c>
      <c r="T1" t="s">
        <v>35</v>
      </c>
      <c r="U1" t="s">
        <v>49</v>
      </c>
      <c r="V1" t="s">
        <v>38</v>
      </c>
      <c r="W1" t="s">
        <v>31</v>
      </c>
    </row>
    <row r="2" spans="1:23" x14ac:dyDescent="0.3">
      <c r="A2" s="28" t="s">
        <v>1</v>
      </c>
      <c r="B2" s="7">
        <v>47</v>
      </c>
      <c r="C2" s="7">
        <v>0</v>
      </c>
      <c r="D2" s="7">
        <v>3</v>
      </c>
      <c r="E2" s="7">
        <v>9</v>
      </c>
      <c r="F2" s="7">
        <v>5</v>
      </c>
      <c r="G2" s="7">
        <v>2</v>
      </c>
      <c r="H2" s="7">
        <v>4</v>
      </c>
      <c r="I2" s="7">
        <v>3</v>
      </c>
      <c r="J2" s="7">
        <v>0</v>
      </c>
      <c r="K2" s="7">
        <v>0</v>
      </c>
      <c r="L2" s="7">
        <v>1</v>
      </c>
      <c r="M2" s="7">
        <v>1</v>
      </c>
      <c r="N2" s="7">
        <v>3</v>
      </c>
      <c r="O2" s="7">
        <v>0</v>
      </c>
      <c r="P2" s="7">
        <v>0</v>
      </c>
      <c r="Q2" s="7">
        <v>0</v>
      </c>
      <c r="R2" s="7">
        <v>0</v>
      </c>
      <c r="S2" s="7">
        <v>2</v>
      </c>
      <c r="T2" s="7">
        <v>0</v>
      </c>
      <c r="U2" s="7">
        <v>1</v>
      </c>
      <c r="V2" s="7">
        <v>0</v>
      </c>
      <c r="W2" s="7">
        <v>0</v>
      </c>
    </row>
    <row r="3" spans="1:23" x14ac:dyDescent="0.3">
      <c r="A3" s="28" t="s">
        <v>2</v>
      </c>
      <c r="B3" s="7">
        <v>24</v>
      </c>
      <c r="C3" s="7">
        <v>0</v>
      </c>
      <c r="D3" s="7">
        <v>0</v>
      </c>
      <c r="E3" s="7">
        <v>0</v>
      </c>
      <c r="F3" s="7">
        <v>0</v>
      </c>
      <c r="G3" s="7">
        <v>0</v>
      </c>
      <c r="H3" s="7">
        <v>0</v>
      </c>
      <c r="I3" s="7">
        <v>0</v>
      </c>
      <c r="J3" s="7">
        <v>9</v>
      </c>
      <c r="K3" s="7">
        <v>5</v>
      </c>
      <c r="L3" s="7">
        <v>0</v>
      </c>
      <c r="M3" s="7">
        <v>5</v>
      </c>
      <c r="N3" s="7">
        <v>0</v>
      </c>
      <c r="O3" s="7">
        <v>0</v>
      </c>
      <c r="P3" s="7">
        <v>0</v>
      </c>
      <c r="Q3" s="7">
        <v>1</v>
      </c>
      <c r="R3" s="7">
        <v>2</v>
      </c>
      <c r="S3" s="7">
        <v>0</v>
      </c>
      <c r="T3" s="7">
        <v>0</v>
      </c>
      <c r="U3" s="7">
        <v>1</v>
      </c>
      <c r="V3" s="7">
        <v>0</v>
      </c>
      <c r="W3" s="7">
        <v>0</v>
      </c>
    </row>
    <row r="4" spans="1:23" x14ac:dyDescent="0.3">
      <c r="A4" s="28" t="s">
        <v>3</v>
      </c>
      <c r="B4" s="7">
        <v>238</v>
      </c>
      <c r="C4" s="7">
        <v>0</v>
      </c>
      <c r="D4" s="7">
        <v>24</v>
      </c>
      <c r="E4" s="7">
        <v>62</v>
      </c>
      <c r="F4" s="7">
        <v>20</v>
      </c>
      <c r="G4" s="7">
        <v>18</v>
      </c>
      <c r="H4" s="7">
        <v>58</v>
      </c>
      <c r="I4" s="7">
        <v>1</v>
      </c>
      <c r="J4" s="7">
        <v>0</v>
      </c>
      <c r="K4" s="7">
        <v>0</v>
      </c>
      <c r="L4" s="7">
        <v>6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2</v>
      </c>
      <c r="S4" s="7">
        <v>0</v>
      </c>
      <c r="T4" s="7">
        <v>0</v>
      </c>
      <c r="U4" s="7">
        <v>1</v>
      </c>
      <c r="V4" s="7">
        <v>0</v>
      </c>
      <c r="W4" s="7">
        <v>0</v>
      </c>
    </row>
    <row r="5" spans="1:23" x14ac:dyDescent="0.3">
      <c r="A5" s="28" t="s">
        <v>4</v>
      </c>
      <c r="B5" s="7">
        <v>50</v>
      </c>
      <c r="C5" s="7">
        <v>36</v>
      </c>
      <c r="D5" s="7">
        <v>6</v>
      </c>
      <c r="E5" s="7">
        <v>15</v>
      </c>
      <c r="F5" s="7">
        <v>13</v>
      </c>
      <c r="G5" s="7">
        <v>4</v>
      </c>
      <c r="H5" s="7">
        <v>0</v>
      </c>
      <c r="I5" s="7">
        <v>5</v>
      </c>
      <c r="J5" s="7">
        <v>0</v>
      </c>
      <c r="K5" s="7">
        <v>2</v>
      </c>
      <c r="L5" s="7">
        <v>0</v>
      </c>
      <c r="M5" s="7">
        <v>2</v>
      </c>
      <c r="N5" s="7">
        <v>4</v>
      </c>
      <c r="O5" s="7">
        <v>0</v>
      </c>
      <c r="P5" s="7">
        <v>12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</row>
    <row r="6" spans="1:23" x14ac:dyDescent="0.3">
      <c r="A6" s="28" t="s">
        <v>103</v>
      </c>
      <c r="B6" s="7">
        <v>35</v>
      </c>
      <c r="C6" s="7">
        <v>267</v>
      </c>
      <c r="D6" s="7">
        <v>12</v>
      </c>
      <c r="E6" s="7">
        <v>13</v>
      </c>
      <c r="F6" s="7">
        <v>9</v>
      </c>
      <c r="G6" s="7">
        <v>22</v>
      </c>
      <c r="H6" s="7">
        <v>0</v>
      </c>
      <c r="I6" s="7">
        <v>12</v>
      </c>
      <c r="J6" s="7">
        <v>40</v>
      </c>
      <c r="K6" s="7">
        <v>34</v>
      </c>
      <c r="L6" s="7">
        <v>0</v>
      </c>
      <c r="M6" s="7">
        <v>2</v>
      </c>
      <c r="N6" s="7">
        <v>6</v>
      </c>
      <c r="O6" s="7">
        <v>7</v>
      </c>
      <c r="P6" s="7">
        <v>0</v>
      </c>
      <c r="Q6" s="7">
        <v>11</v>
      </c>
      <c r="R6" s="7">
        <v>0</v>
      </c>
      <c r="S6" s="7">
        <v>0</v>
      </c>
      <c r="T6" s="7">
        <v>0</v>
      </c>
      <c r="U6" s="7">
        <v>0</v>
      </c>
      <c r="V6" s="7">
        <v>3</v>
      </c>
      <c r="W6" s="7">
        <v>0</v>
      </c>
    </row>
    <row r="7" spans="1:23" x14ac:dyDescent="0.3">
      <c r="A7" s="28" t="s">
        <v>104</v>
      </c>
      <c r="B7" s="7">
        <v>93</v>
      </c>
      <c r="C7" s="7">
        <v>0</v>
      </c>
      <c r="D7" s="7">
        <v>5</v>
      </c>
      <c r="E7" s="7">
        <v>10</v>
      </c>
      <c r="F7" s="7">
        <v>3</v>
      </c>
      <c r="G7" s="7">
        <v>33</v>
      </c>
      <c r="H7" s="7">
        <v>3</v>
      </c>
      <c r="I7" s="7">
        <v>3</v>
      </c>
      <c r="J7" s="7">
        <v>0</v>
      </c>
      <c r="K7" s="7">
        <v>0</v>
      </c>
      <c r="L7" s="7">
        <v>0</v>
      </c>
      <c r="M7" s="7">
        <v>0</v>
      </c>
      <c r="N7" s="7">
        <v>2</v>
      </c>
      <c r="O7" s="7">
        <v>0</v>
      </c>
      <c r="P7" s="7">
        <v>0</v>
      </c>
      <c r="Q7" s="7">
        <v>0</v>
      </c>
      <c r="R7" s="7">
        <v>0</v>
      </c>
      <c r="S7" s="7">
        <v>4</v>
      </c>
      <c r="T7" s="7">
        <v>0</v>
      </c>
      <c r="U7" s="7">
        <v>0</v>
      </c>
      <c r="V7" s="7">
        <v>0</v>
      </c>
      <c r="W7" s="7">
        <v>0</v>
      </c>
    </row>
    <row r="8" spans="1:23" x14ac:dyDescent="0.3">
      <c r="A8" s="28" t="s">
        <v>5</v>
      </c>
      <c r="B8" s="7">
        <v>203</v>
      </c>
      <c r="C8" s="7">
        <v>0</v>
      </c>
      <c r="D8" s="7">
        <v>26</v>
      </c>
      <c r="E8" s="7">
        <v>0</v>
      </c>
      <c r="F8" s="7">
        <v>2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5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2</v>
      </c>
      <c r="V8" s="7">
        <v>0</v>
      </c>
      <c r="W8" s="7">
        <v>0</v>
      </c>
    </row>
    <row r="9" spans="1:23" x14ac:dyDescent="0.3">
      <c r="A9" s="28" t="s">
        <v>6</v>
      </c>
      <c r="B9" s="7">
        <v>1</v>
      </c>
      <c r="C9" s="7">
        <v>0</v>
      </c>
      <c r="D9" s="7">
        <v>1</v>
      </c>
      <c r="E9" s="7">
        <v>0</v>
      </c>
      <c r="F9" s="7">
        <v>0</v>
      </c>
      <c r="G9" s="7">
        <v>0</v>
      </c>
      <c r="H9" s="7">
        <v>0</v>
      </c>
      <c r="I9" s="7">
        <v>1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</row>
    <row r="10" spans="1:23" x14ac:dyDescent="0.3">
      <c r="A10" s="28" t="s">
        <v>7</v>
      </c>
      <c r="B10" s="7">
        <v>9</v>
      </c>
      <c r="C10" s="7">
        <v>0</v>
      </c>
      <c r="D10" s="7">
        <v>5</v>
      </c>
      <c r="E10" s="7">
        <v>3</v>
      </c>
      <c r="F10" s="7">
        <v>4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7">
        <v>2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</row>
    <row r="11" spans="1:23" x14ac:dyDescent="0.3">
      <c r="A11" s="28" t="s">
        <v>8</v>
      </c>
      <c r="B11" s="7">
        <v>57</v>
      </c>
      <c r="C11" s="7">
        <v>0</v>
      </c>
      <c r="D11" s="7">
        <v>27</v>
      </c>
      <c r="E11" s="7">
        <v>6</v>
      </c>
      <c r="F11" s="7">
        <v>11</v>
      </c>
      <c r="G11" s="7">
        <v>1</v>
      </c>
      <c r="H11" s="7">
        <v>14</v>
      </c>
      <c r="I11" s="7">
        <v>3</v>
      </c>
      <c r="J11" s="7">
        <v>0</v>
      </c>
      <c r="K11" s="7">
        <v>0</v>
      </c>
      <c r="L11" s="7">
        <v>14</v>
      </c>
      <c r="M11" s="7">
        <v>0</v>
      </c>
      <c r="N11" s="7">
        <v>0</v>
      </c>
      <c r="O11" s="7">
        <v>0</v>
      </c>
      <c r="P11" s="7">
        <v>1</v>
      </c>
      <c r="Q11" s="7">
        <v>0</v>
      </c>
      <c r="R11" s="7">
        <v>1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</row>
    <row r="12" spans="1:23" x14ac:dyDescent="0.3">
      <c r="A12" s="28" t="s">
        <v>9</v>
      </c>
      <c r="B12" s="7">
        <v>29</v>
      </c>
      <c r="C12" s="7">
        <v>0</v>
      </c>
      <c r="D12" s="7">
        <v>8</v>
      </c>
      <c r="E12" s="7">
        <v>0</v>
      </c>
      <c r="F12" s="7">
        <v>4</v>
      </c>
      <c r="G12" s="7">
        <v>7</v>
      </c>
      <c r="H12" s="7">
        <v>7</v>
      </c>
      <c r="I12" s="7">
        <v>21</v>
      </c>
      <c r="J12" s="7">
        <v>0</v>
      </c>
      <c r="K12" s="7">
        <v>0</v>
      </c>
      <c r="L12" s="7">
        <v>1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4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</row>
    <row r="13" spans="1:23" x14ac:dyDescent="0.3">
      <c r="A13" s="28" t="s">
        <v>10</v>
      </c>
      <c r="B13" s="7">
        <v>6</v>
      </c>
      <c r="C13" s="7">
        <v>0</v>
      </c>
      <c r="D13" s="7">
        <v>54</v>
      </c>
      <c r="E13" s="7">
        <v>0</v>
      </c>
      <c r="F13" s="7">
        <v>3</v>
      </c>
      <c r="G13" s="7">
        <v>1</v>
      </c>
      <c r="H13" s="7">
        <v>2</v>
      </c>
      <c r="I13" s="7">
        <v>2</v>
      </c>
      <c r="J13" s="7">
        <v>0</v>
      </c>
      <c r="K13" s="7">
        <v>0</v>
      </c>
      <c r="L13" s="7">
        <v>9</v>
      </c>
      <c r="M13" s="7">
        <v>1</v>
      </c>
      <c r="N13" s="7">
        <v>1</v>
      </c>
      <c r="O13" s="7">
        <v>0</v>
      </c>
      <c r="P13" s="7">
        <v>2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2</v>
      </c>
    </row>
    <row r="14" spans="1:23" x14ac:dyDescent="0.3">
      <c r="A14" s="28" t="s">
        <v>11</v>
      </c>
      <c r="B14" s="7">
        <v>11</v>
      </c>
      <c r="C14" s="7">
        <v>0</v>
      </c>
      <c r="D14" s="7">
        <v>2</v>
      </c>
      <c r="E14" s="7">
        <v>1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</row>
    <row r="15" spans="1:23" x14ac:dyDescent="0.3">
      <c r="A15" s="28" t="s">
        <v>12</v>
      </c>
      <c r="B15" s="7">
        <v>12</v>
      </c>
      <c r="C15" s="7">
        <v>0</v>
      </c>
      <c r="D15" s="7">
        <v>1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1</v>
      </c>
      <c r="N15" s="7">
        <v>2</v>
      </c>
      <c r="O15" s="7">
        <v>0</v>
      </c>
      <c r="P15" s="7">
        <v>0</v>
      </c>
      <c r="Q15" s="7">
        <v>0</v>
      </c>
      <c r="R15" s="7">
        <v>1</v>
      </c>
      <c r="S15" s="7">
        <v>0</v>
      </c>
      <c r="T15" s="7">
        <v>3</v>
      </c>
      <c r="U15" s="7">
        <v>0</v>
      </c>
      <c r="V15" s="7">
        <v>0</v>
      </c>
      <c r="W15" s="7">
        <v>0</v>
      </c>
    </row>
    <row r="16" spans="1:23" x14ac:dyDescent="0.3">
      <c r="A16" s="28" t="s">
        <v>13</v>
      </c>
      <c r="B16" s="7">
        <v>13</v>
      </c>
      <c r="C16" s="7">
        <v>0</v>
      </c>
      <c r="D16" s="7">
        <v>2</v>
      </c>
      <c r="E16" s="7">
        <v>0</v>
      </c>
      <c r="F16" s="7">
        <v>1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1</v>
      </c>
      <c r="M16" s="7">
        <v>1</v>
      </c>
      <c r="N16" s="7">
        <v>1</v>
      </c>
      <c r="O16" s="7">
        <v>0</v>
      </c>
      <c r="P16" s="7">
        <v>2</v>
      </c>
      <c r="Q16" s="7">
        <v>0</v>
      </c>
      <c r="R16" s="7">
        <v>0</v>
      </c>
      <c r="S16" s="7">
        <v>1</v>
      </c>
      <c r="T16" s="7">
        <v>2</v>
      </c>
      <c r="U16" s="7">
        <v>0</v>
      </c>
      <c r="V16" s="7">
        <v>0</v>
      </c>
      <c r="W16" s="7">
        <v>0</v>
      </c>
    </row>
    <row r="17" spans="1:23" x14ac:dyDescent="0.3">
      <c r="A17" s="28" t="s">
        <v>14</v>
      </c>
      <c r="B17" s="7">
        <v>80</v>
      </c>
      <c r="C17" s="7">
        <v>52</v>
      </c>
      <c r="D17" s="7">
        <v>25</v>
      </c>
      <c r="E17" s="7">
        <v>8</v>
      </c>
      <c r="F17" s="7">
        <v>34</v>
      </c>
      <c r="G17" s="7">
        <v>15</v>
      </c>
      <c r="H17" s="7">
        <v>2</v>
      </c>
      <c r="I17" s="7">
        <v>20</v>
      </c>
      <c r="J17" s="7">
        <v>14</v>
      </c>
      <c r="K17" s="7">
        <v>20</v>
      </c>
      <c r="L17" s="7">
        <v>12</v>
      </c>
      <c r="M17" s="7">
        <v>25</v>
      </c>
      <c r="N17" s="7">
        <v>14</v>
      </c>
      <c r="O17" s="7">
        <v>21</v>
      </c>
      <c r="P17" s="7">
        <v>0</v>
      </c>
      <c r="Q17" s="7">
        <v>5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</row>
    <row r="18" spans="1:23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x14ac:dyDescent="0.3">
      <c r="A23" s="30"/>
    </row>
    <row r="24" spans="1:23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A374-6789-2D47-94EB-205E1BDD8891}">
  <dimension ref="A1:O104"/>
  <sheetViews>
    <sheetView topLeftCell="I1" zoomScale="70" zoomScaleNormal="70" zoomScaleSheetLayoutView="100" workbookViewId="0">
      <selection activeCell="B1" sqref="B1:J1048576"/>
    </sheetView>
  </sheetViews>
  <sheetFormatPr defaultColWidth="9.109375" defaultRowHeight="14.4" x14ac:dyDescent="0.3"/>
  <cols>
    <col min="1" max="1" width="11" style="10" bestFit="1" customWidth="1"/>
    <col min="2" max="2" width="12" style="6" bestFit="1" customWidth="1"/>
    <col min="3" max="3" width="35.21875" style="6" bestFit="1" customWidth="1"/>
    <col min="4" max="4" width="27.33203125" style="6" bestFit="1" customWidth="1"/>
    <col min="5" max="5" width="19.5546875" style="6" bestFit="1" customWidth="1"/>
    <col min="6" max="6" width="25.44140625" style="6" bestFit="1" customWidth="1"/>
    <col min="7" max="7" width="22.44140625" style="6" bestFit="1" customWidth="1"/>
    <col min="8" max="8" width="25" style="6" bestFit="1" customWidth="1"/>
    <col min="9" max="9" width="27.33203125" style="6" bestFit="1" customWidth="1"/>
    <col min="10" max="10" width="22.21875" style="6" bestFit="1" customWidth="1"/>
    <col min="11" max="11" width="29.5546875" style="10" bestFit="1" customWidth="1"/>
    <col min="12" max="12" width="34.44140625" style="10" bestFit="1" customWidth="1"/>
    <col min="13" max="13" width="36.6640625" style="10" bestFit="1" customWidth="1"/>
    <col min="14" max="14" width="42.33203125" style="10" bestFit="1" customWidth="1"/>
    <col min="15" max="15" width="33.88671875" style="6" bestFit="1" customWidth="1"/>
    <col min="16" max="16384" width="9.109375" style="6"/>
  </cols>
  <sheetData>
    <row r="1" spans="1:15" s="13" customFormat="1" x14ac:dyDescent="0.3">
      <c r="A1" s="9" t="s">
        <v>0</v>
      </c>
      <c r="B1" s="12" t="s">
        <v>66</v>
      </c>
      <c r="C1" s="12" t="s">
        <v>173</v>
      </c>
      <c r="D1" s="12" t="s">
        <v>174</v>
      </c>
      <c r="E1" s="12" t="s">
        <v>67</v>
      </c>
      <c r="F1" s="12" t="s">
        <v>68</v>
      </c>
      <c r="G1" s="12" t="s">
        <v>69</v>
      </c>
      <c r="H1" s="12" t="s">
        <v>70</v>
      </c>
      <c r="I1" s="12" t="s">
        <v>71</v>
      </c>
      <c r="J1" s="12" t="s">
        <v>72</v>
      </c>
      <c r="K1" s="9" t="s">
        <v>73</v>
      </c>
      <c r="L1" s="9" t="s">
        <v>74</v>
      </c>
      <c r="M1" s="9" t="s">
        <v>75</v>
      </c>
      <c r="N1" s="9" t="s">
        <v>76</v>
      </c>
      <c r="O1" s="13" t="s">
        <v>77</v>
      </c>
    </row>
    <row r="2" spans="1:15" ht="15.6" x14ac:dyDescent="0.3">
      <c r="A2" s="10" t="s">
        <v>15</v>
      </c>
      <c r="B2" s="5">
        <v>3</v>
      </c>
      <c r="C2" s="5">
        <v>1</v>
      </c>
      <c r="D2" s="14">
        <v>73.5</v>
      </c>
      <c r="E2" s="5">
        <v>0</v>
      </c>
      <c r="F2" s="5">
        <v>0</v>
      </c>
      <c r="G2" s="5">
        <v>0</v>
      </c>
      <c r="H2" s="5">
        <v>1</v>
      </c>
      <c r="I2" s="5">
        <v>0</v>
      </c>
      <c r="J2" s="5">
        <v>0</v>
      </c>
      <c r="K2" s="10" t="s">
        <v>78</v>
      </c>
      <c r="L2" s="10" t="s">
        <v>79</v>
      </c>
      <c r="M2" s="10" t="s">
        <v>80</v>
      </c>
      <c r="N2" s="10" t="s">
        <v>81</v>
      </c>
      <c r="O2" s="6">
        <v>3</v>
      </c>
    </row>
    <row r="3" spans="1:15" ht="15.6" x14ac:dyDescent="0.3">
      <c r="A3" s="10" t="s">
        <v>16</v>
      </c>
      <c r="B3" s="5">
        <v>1</v>
      </c>
      <c r="C3" s="5">
        <v>8</v>
      </c>
      <c r="D3" s="14">
        <v>64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10" t="s">
        <v>82</v>
      </c>
      <c r="L3" s="10" t="s">
        <v>83</v>
      </c>
      <c r="M3" s="10" t="s">
        <v>80</v>
      </c>
      <c r="N3" s="10" t="s">
        <v>84</v>
      </c>
      <c r="O3" s="6">
        <v>1</v>
      </c>
    </row>
    <row r="4" spans="1:15" ht="15.6" x14ac:dyDescent="0.3">
      <c r="A4" s="10" t="s">
        <v>17</v>
      </c>
      <c r="B4" s="5">
        <v>3</v>
      </c>
      <c r="C4" s="5">
        <v>12</v>
      </c>
      <c r="D4" s="14">
        <v>72.5</v>
      </c>
      <c r="E4" s="5">
        <v>0</v>
      </c>
      <c r="F4" s="5">
        <v>1</v>
      </c>
      <c r="G4" s="5">
        <v>1</v>
      </c>
      <c r="H4" s="5">
        <v>0</v>
      </c>
      <c r="I4" s="5">
        <v>0</v>
      </c>
      <c r="J4" s="5">
        <v>0</v>
      </c>
      <c r="K4" s="10" t="s">
        <v>78</v>
      </c>
      <c r="L4" s="10" t="s">
        <v>85</v>
      </c>
      <c r="M4" s="10" t="s">
        <v>86</v>
      </c>
      <c r="N4" s="10" t="s">
        <v>87</v>
      </c>
      <c r="O4" s="6">
        <v>10</v>
      </c>
    </row>
    <row r="5" spans="1:15" ht="15.6" x14ac:dyDescent="0.3">
      <c r="A5" s="10" t="s">
        <v>18</v>
      </c>
      <c r="B5" s="5">
        <v>3</v>
      </c>
      <c r="C5" s="5">
        <v>2</v>
      </c>
      <c r="D5" s="14">
        <v>30</v>
      </c>
      <c r="E5" s="5">
        <v>0</v>
      </c>
      <c r="F5" s="5">
        <v>0</v>
      </c>
      <c r="G5" s="5">
        <v>1</v>
      </c>
      <c r="H5" s="5">
        <v>0</v>
      </c>
      <c r="I5" s="5">
        <v>0</v>
      </c>
      <c r="J5" s="5">
        <v>0</v>
      </c>
      <c r="K5" s="10" t="s">
        <v>88</v>
      </c>
      <c r="L5" s="10" t="s">
        <v>89</v>
      </c>
      <c r="M5" s="10" t="s">
        <v>90</v>
      </c>
      <c r="N5" s="10" t="s">
        <v>81</v>
      </c>
      <c r="O5" s="6">
        <v>2</v>
      </c>
    </row>
    <row r="6" spans="1:15" ht="15.6" x14ac:dyDescent="0.3">
      <c r="A6" s="10" t="s">
        <v>19</v>
      </c>
      <c r="B6" s="5">
        <v>2</v>
      </c>
      <c r="C6" s="5">
        <v>14</v>
      </c>
      <c r="D6" s="14">
        <v>28.25</v>
      </c>
      <c r="E6" s="5">
        <v>0</v>
      </c>
      <c r="F6" s="5">
        <v>0</v>
      </c>
      <c r="G6" s="5">
        <v>1</v>
      </c>
      <c r="H6" s="5">
        <v>0</v>
      </c>
      <c r="I6" s="5">
        <v>0</v>
      </c>
      <c r="J6" s="5">
        <v>0</v>
      </c>
      <c r="K6" s="10" t="s">
        <v>88</v>
      </c>
      <c r="L6" s="10" t="s">
        <v>91</v>
      </c>
      <c r="M6" s="10" t="s">
        <v>80</v>
      </c>
      <c r="N6" s="10" t="s">
        <v>84</v>
      </c>
      <c r="O6" s="6">
        <v>1</v>
      </c>
    </row>
    <row r="7" spans="1:15" ht="15.6" x14ac:dyDescent="0.3">
      <c r="A7" s="10" t="s">
        <v>20</v>
      </c>
      <c r="B7" s="5">
        <v>2</v>
      </c>
      <c r="C7" s="5">
        <v>4</v>
      </c>
      <c r="D7" s="14">
        <v>26</v>
      </c>
      <c r="E7" s="5">
        <v>1</v>
      </c>
      <c r="F7" s="5">
        <v>1</v>
      </c>
      <c r="G7" s="5">
        <v>0</v>
      </c>
      <c r="H7" s="5">
        <v>0</v>
      </c>
      <c r="I7" s="5">
        <v>0</v>
      </c>
      <c r="J7" s="5">
        <v>0</v>
      </c>
      <c r="K7" s="10" t="s">
        <v>88</v>
      </c>
      <c r="L7" s="10" t="s">
        <v>83</v>
      </c>
      <c r="M7" s="10" t="s">
        <v>80</v>
      </c>
      <c r="N7" s="10" t="s">
        <v>84</v>
      </c>
      <c r="O7" s="6">
        <v>2</v>
      </c>
    </row>
    <row r="8" spans="1:15" ht="15.6" x14ac:dyDescent="0.3">
      <c r="A8" s="10" t="s">
        <v>21</v>
      </c>
      <c r="B8" s="5">
        <v>2</v>
      </c>
      <c r="C8" s="5">
        <v>4</v>
      </c>
      <c r="D8" s="14">
        <v>22.5</v>
      </c>
      <c r="E8" s="5">
        <v>0</v>
      </c>
      <c r="F8" s="5">
        <v>1</v>
      </c>
      <c r="G8" s="5">
        <v>1</v>
      </c>
      <c r="H8" s="5">
        <v>0</v>
      </c>
      <c r="I8" s="5">
        <v>0</v>
      </c>
      <c r="J8" s="5">
        <v>0</v>
      </c>
      <c r="K8" s="10" t="s">
        <v>88</v>
      </c>
      <c r="L8" s="10" t="s">
        <v>79</v>
      </c>
      <c r="M8" s="10" t="s">
        <v>92</v>
      </c>
      <c r="N8" s="10" t="s">
        <v>93</v>
      </c>
      <c r="O8" s="6">
        <v>3</v>
      </c>
    </row>
    <row r="9" spans="1:15" ht="15.6" x14ac:dyDescent="0.3">
      <c r="A9" s="10" t="s">
        <v>22</v>
      </c>
      <c r="B9" s="5">
        <v>2</v>
      </c>
      <c r="C9" s="5">
        <v>1</v>
      </c>
      <c r="D9" s="14">
        <v>25</v>
      </c>
      <c r="E9" s="5"/>
      <c r="F9" s="5"/>
      <c r="G9" s="5"/>
      <c r="H9" s="5"/>
      <c r="I9" s="5"/>
      <c r="J9" s="5"/>
      <c r="K9" s="10" t="s">
        <v>88</v>
      </c>
      <c r="L9" s="10" t="s">
        <v>79</v>
      </c>
      <c r="M9" s="10" t="s">
        <v>94</v>
      </c>
      <c r="N9" s="10" t="s">
        <v>84</v>
      </c>
      <c r="O9" s="6">
        <v>1</v>
      </c>
    </row>
    <row r="10" spans="1:15" ht="15.6" x14ac:dyDescent="0.3">
      <c r="A10" s="10" t="s">
        <v>23</v>
      </c>
      <c r="B10" s="5">
        <v>2</v>
      </c>
      <c r="C10" s="5">
        <v>4</v>
      </c>
      <c r="D10" s="14">
        <v>24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10" t="s">
        <v>88</v>
      </c>
      <c r="L10" s="10" t="s">
        <v>89</v>
      </c>
      <c r="M10" s="10" t="s">
        <v>80</v>
      </c>
      <c r="N10" s="10" t="s">
        <v>84</v>
      </c>
      <c r="O10" s="6">
        <v>1</v>
      </c>
    </row>
    <row r="11" spans="1:15" ht="15.6" x14ac:dyDescent="0.3">
      <c r="A11" s="10" t="s">
        <v>24</v>
      </c>
      <c r="B11" s="5">
        <v>1</v>
      </c>
      <c r="C11" s="5">
        <v>6</v>
      </c>
      <c r="D11" s="14">
        <v>26.5</v>
      </c>
      <c r="E11" s="5">
        <v>0</v>
      </c>
      <c r="F11" s="5">
        <v>1</v>
      </c>
      <c r="G11" s="5">
        <v>0</v>
      </c>
      <c r="H11" s="5">
        <v>0</v>
      </c>
      <c r="I11" s="5">
        <v>0</v>
      </c>
      <c r="J11" s="5">
        <v>0</v>
      </c>
      <c r="K11" s="10" t="s">
        <v>88</v>
      </c>
      <c r="L11" s="10" t="s">
        <v>79</v>
      </c>
      <c r="M11" s="10" t="s">
        <v>80</v>
      </c>
      <c r="N11" s="10" t="s">
        <v>81</v>
      </c>
      <c r="O11" s="6">
        <v>2</v>
      </c>
    </row>
    <row r="12" spans="1:15" ht="15.6" x14ac:dyDescent="0.3">
      <c r="A12" s="10" t="s">
        <v>25</v>
      </c>
      <c r="B12" s="5">
        <v>3</v>
      </c>
      <c r="C12" s="5">
        <v>15</v>
      </c>
      <c r="D12" s="14">
        <v>46.5</v>
      </c>
      <c r="E12" s="5">
        <v>0</v>
      </c>
      <c r="F12" s="5">
        <v>0</v>
      </c>
      <c r="G12" s="5">
        <v>1</v>
      </c>
      <c r="H12" s="5">
        <v>0</v>
      </c>
      <c r="I12" s="5">
        <v>0</v>
      </c>
      <c r="J12" s="5">
        <v>0</v>
      </c>
      <c r="K12" s="10" t="s">
        <v>78</v>
      </c>
      <c r="L12" s="10" t="s">
        <v>95</v>
      </c>
      <c r="M12" s="10" t="s">
        <v>86</v>
      </c>
      <c r="N12" s="10" t="s">
        <v>81</v>
      </c>
      <c r="O12" s="6">
        <v>2</v>
      </c>
    </row>
    <row r="13" spans="1:15" ht="15.6" x14ac:dyDescent="0.3">
      <c r="A13" s="10" t="s">
        <v>26</v>
      </c>
      <c r="B13" s="5">
        <v>3</v>
      </c>
      <c r="C13" s="5">
        <v>8</v>
      </c>
      <c r="D13" s="14">
        <v>44</v>
      </c>
      <c r="E13" s="5">
        <v>0</v>
      </c>
      <c r="F13" s="5">
        <v>0</v>
      </c>
      <c r="G13" s="5">
        <v>1</v>
      </c>
      <c r="H13" s="5">
        <v>0</v>
      </c>
      <c r="I13" s="5">
        <v>0</v>
      </c>
      <c r="J13" s="5">
        <v>0</v>
      </c>
      <c r="K13" s="10" t="s">
        <v>88</v>
      </c>
      <c r="L13" s="10" t="s">
        <v>96</v>
      </c>
      <c r="M13" s="10" t="s">
        <v>80</v>
      </c>
      <c r="N13" s="10" t="s">
        <v>97</v>
      </c>
      <c r="O13" s="6">
        <v>1</v>
      </c>
    </row>
    <row r="14" spans="1:15" ht="15.6" x14ac:dyDescent="0.3">
      <c r="A14" s="10" t="s">
        <v>27</v>
      </c>
      <c r="B14" s="5">
        <v>3</v>
      </c>
      <c r="C14" s="5">
        <v>1</v>
      </c>
      <c r="D14" s="14">
        <v>59</v>
      </c>
      <c r="E14" s="5">
        <v>0</v>
      </c>
      <c r="F14" s="5">
        <v>0</v>
      </c>
      <c r="G14" s="5">
        <v>0</v>
      </c>
      <c r="H14" s="5">
        <v>1</v>
      </c>
      <c r="I14" s="5">
        <v>0</v>
      </c>
      <c r="J14" s="5">
        <v>0</v>
      </c>
      <c r="K14" s="10" t="s">
        <v>88</v>
      </c>
      <c r="L14" s="10" t="s">
        <v>83</v>
      </c>
      <c r="M14" s="10" t="s">
        <v>98</v>
      </c>
      <c r="N14" s="10" t="s">
        <v>84</v>
      </c>
      <c r="O14" s="6">
        <v>1</v>
      </c>
    </row>
    <row r="15" spans="1:15" ht="15.6" x14ac:dyDescent="0.3">
      <c r="A15" s="10" t="s">
        <v>28</v>
      </c>
      <c r="B15" s="5">
        <v>1</v>
      </c>
      <c r="C15" s="5">
        <v>2</v>
      </c>
      <c r="D15" s="14">
        <v>58</v>
      </c>
      <c r="E15" s="5">
        <v>0</v>
      </c>
      <c r="F15" s="5">
        <v>0</v>
      </c>
      <c r="G15" s="5">
        <v>1</v>
      </c>
      <c r="H15" s="5">
        <v>1</v>
      </c>
      <c r="I15" s="5">
        <v>0</v>
      </c>
      <c r="J15" s="5">
        <v>0</v>
      </c>
      <c r="K15" s="10" t="s">
        <v>88</v>
      </c>
      <c r="L15" s="10" t="s">
        <v>79</v>
      </c>
      <c r="M15" s="10" t="s">
        <v>94</v>
      </c>
      <c r="N15" s="10" t="s">
        <v>81</v>
      </c>
      <c r="O15" s="6">
        <v>2</v>
      </c>
    </row>
    <row r="16" spans="1:15" ht="15.6" x14ac:dyDescent="0.3">
      <c r="A16" s="10" t="s">
        <v>29</v>
      </c>
      <c r="B16" s="5">
        <v>3</v>
      </c>
      <c r="C16" s="5">
        <v>4</v>
      </c>
      <c r="D16" s="14">
        <v>37.25</v>
      </c>
      <c r="E16" s="5">
        <v>0</v>
      </c>
      <c r="F16" s="5">
        <v>0</v>
      </c>
      <c r="G16" s="5">
        <v>1</v>
      </c>
      <c r="H16" s="5">
        <v>0</v>
      </c>
      <c r="I16" s="5">
        <v>0</v>
      </c>
      <c r="J16" s="5">
        <v>0</v>
      </c>
      <c r="K16" s="10" t="s">
        <v>88</v>
      </c>
      <c r="L16" s="10" t="s">
        <v>79</v>
      </c>
      <c r="M16" s="10" t="s">
        <v>99</v>
      </c>
      <c r="N16" s="10" t="s">
        <v>81</v>
      </c>
      <c r="O16" s="6">
        <v>1</v>
      </c>
    </row>
    <row r="17" spans="1:15" ht="15.6" x14ac:dyDescent="0.3">
      <c r="A17" s="10" t="s">
        <v>30</v>
      </c>
      <c r="B17" s="5">
        <v>3</v>
      </c>
      <c r="C17" s="5">
        <v>17</v>
      </c>
      <c r="D17" s="14">
        <v>56.25</v>
      </c>
      <c r="E17" s="5">
        <v>0</v>
      </c>
      <c r="F17" s="5">
        <v>0</v>
      </c>
      <c r="G17" s="5">
        <v>1</v>
      </c>
      <c r="H17" s="5">
        <v>1</v>
      </c>
      <c r="I17" s="5">
        <v>0</v>
      </c>
      <c r="J17" s="5">
        <v>0</v>
      </c>
      <c r="K17" s="10" t="s">
        <v>88</v>
      </c>
      <c r="L17" s="10" t="s">
        <v>95</v>
      </c>
      <c r="M17" s="10" t="s">
        <v>90</v>
      </c>
      <c r="N17" s="10" t="s">
        <v>81</v>
      </c>
      <c r="O17" s="6">
        <v>6</v>
      </c>
    </row>
    <row r="18" spans="1:15" ht="15.6" x14ac:dyDescent="0.3">
      <c r="A18" s="10" t="s">
        <v>31</v>
      </c>
      <c r="B18" s="5">
        <v>3</v>
      </c>
      <c r="C18" s="5">
        <v>2</v>
      </c>
      <c r="D18" s="14">
        <v>43</v>
      </c>
      <c r="E18" s="5">
        <v>0</v>
      </c>
      <c r="F18" s="5">
        <v>1</v>
      </c>
      <c r="G18" s="5">
        <v>0</v>
      </c>
      <c r="H18" s="5">
        <v>0</v>
      </c>
      <c r="I18" s="5">
        <v>0</v>
      </c>
      <c r="J18" s="5">
        <v>0</v>
      </c>
      <c r="K18" s="10" t="s">
        <v>78</v>
      </c>
      <c r="L18" s="10" t="s">
        <v>83</v>
      </c>
      <c r="M18" s="10" t="s">
        <v>98</v>
      </c>
      <c r="N18" s="10" t="s">
        <v>84</v>
      </c>
      <c r="O18" s="6">
        <v>1</v>
      </c>
    </row>
    <row r="19" spans="1:15" ht="15.6" x14ac:dyDescent="0.3">
      <c r="A19" s="10" t="s">
        <v>32</v>
      </c>
      <c r="B19" s="5">
        <v>3</v>
      </c>
      <c r="C19" s="5">
        <v>10</v>
      </c>
      <c r="D19" s="14">
        <v>44.5</v>
      </c>
      <c r="E19" s="5">
        <v>0</v>
      </c>
      <c r="F19" s="5">
        <v>0</v>
      </c>
      <c r="G19" s="5">
        <v>1</v>
      </c>
      <c r="H19" s="5">
        <v>0</v>
      </c>
      <c r="I19" s="5">
        <v>0</v>
      </c>
      <c r="J19" s="5">
        <v>0</v>
      </c>
      <c r="K19" s="10" t="s">
        <v>88</v>
      </c>
      <c r="L19" s="10" t="s">
        <v>89</v>
      </c>
      <c r="M19" s="10" t="s">
        <v>86</v>
      </c>
      <c r="N19" s="10" t="s">
        <v>81</v>
      </c>
      <c r="O19" s="6">
        <v>8</v>
      </c>
    </row>
    <row r="20" spans="1:15" ht="15.6" x14ac:dyDescent="0.3">
      <c r="A20" s="10" t="s">
        <v>33</v>
      </c>
      <c r="B20" s="5">
        <v>3</v>
      </c>
      <c r="C20" s="5">
        <v>4</v>
      </c>
      <c r="D20" s="14">
        <v>41.5</v>
      </c>
      <c r="E20" s="5"/>
      <c r="F20" s="5"/>
      <c r="G20" s="5"/>
      <c r="H20" s="5"/>
      <c r="I20" s="5"/>
      <c r="J20" s="5"/>
    </row>
    <row r="21" spans="1:15" ht="15.6" x14ac:dyDescent="0.3">
      <c r="A21" s="10" t="s">
        <v>34</v>
      </c>
      <c r="B21" s="5">
        <v>3</v>
      </c>
      <c r="C21" s="5">
        <v>5</v>
      </c>
      <c r="D21" s="14">
        <v>25</v>
      </c>
      <c r="E21" s="5">
        <v>1</v>
      </c>
      <c r="F21" s="5">
        <v>1</v>
      </c>
      <c r="G21" s="5">
        <v>0</v>
      </c>
      <c r="H21" s="5">
        <v>0</v>
      </c>
      <c r="I21" s="5">
        <v>0</v>
      </c>
      <c r="J21" s="5">
        <v>1</v>
      </c>
      <c r="K21" s="10" t="s">
        <v>88</v>
      </c>
      <c r="L21" s="10" t="s">
        <v>85</v>
      </c>
      <c r="M21" s="10" t="s">
        <v>80</v>
      </c>
      <c r="N21" s="10" t="s">
        <v>84</v>
      </c>
      <c r="O21" s="6">
        <v>3</v>
      </c>
    </row>
    <row r="22" spans="1:15" ht="15.6" x14ac:dyDescent="0.3">
      <c r="A22" s="10" t="s">
        <v>35</v>
      </c>
      <c r="B22" s="5">
        <v>3</v>
      </c>
      <c r="C22" s="5">
        <v>2</v>
      </c>
      <c r="D22" s="14">
        <v>23.5</v>
      </c>
      <c r="E22" s="5">
        <v>0</v>
      </c>
      <c r="F22" s="5">
        <v>0</v>
      </c>
      <c r="G22" s="5">
        <v>1</v>
      </c>
      <c r="H22" s="5">
        <v>0</v>
      </c>
      <c r="I22" s="5">
        <v>0</v>
      </c>
      <c r="J22" s="5">
        <v>0</v>
      </c>
      <c r="K22" s="10" t="s">
        <v>88</v>
      </c>
      <c r="L22" s="10" t="s">
        <v>95</v>
      </c>
      <c r="M22" s="10" t="s">
        <v>86</v>
      </c>
      <c r="N22" s="10" t="s">
        <v>81</v>
      </c>
      <c r="O22" s="6">
        <v>1</v>
      </c>
    </row>
    <row r="23" spans="1:15" ht="15.6" x14ac:dyDescent="0.3">
      <c r="A23" s="10" t="s">
        <v>36</v>
      </c>
      <c r="B23" s="5">
        <v>2</v>
      </c>
      <c r="C23" s="5">
        <v>48</v>
      </c>
      <c r="D23" s="14">
        <v>25.75</v>
      </c>
      <c r="E23" s="5">
        <v>0</v>
      </c>
      <c r="F23" s="5">
        <v>1</v>
      </c>
      <c r="G23" s="5">
        <v>0</v>
      </c>
      <c r="H23" s="5">
        <v>1</v>
      </c>
      <c r="I23" s="5">
        <v>0</v>
      </c>
      <c r="J23" s="5">
        <v>0</v>
      </c>
      <c r="K23" s="10" t="s">
        <v>78</v>
      </c>
      <c r="L23" s="10" t="s">
        <v>79</v>
      </c>
      <c r="M23" s="10" t="s">
        <v>92</v>
      </c>
      <c r="N23" s="10" t="s">
        <v>87</v>
      </c>
      <c r="O23" s="6">
        <v>20</v>
      </c>
    </row>
    <row r="24" spans="1:15" ht="15.6" x14ac:dyDescent="0.3">
      <c r="A24" s="10" t="s">
        <v>37</v>
      </c>
      <c r="B24" s="5">
        <v>1</v>
      </c>
      <c r="C24" s="5">
        <v>1</v>
      </c>
      <c r="D24" s="14">
        <v>32</v>
      </c>
      <c r="E24" s="5">
        <v>1</v>
      </c>
      <c r="F24" s="5">
        <v>1</v>
      </c>
      <c r="G24" s="5">
        <v>0</v>
      </c>
      <c r="H24" s="5">
        <v>0</v>
      </c>
      <c r="I24" s="5">
        <v>0</v>
      </c>
      <c r="J24" s="5">
        <v>1</v>
      </c>
      <c r="K24" s="10" t="s">
        <v>100</v>
      </c>
      <c r="L24" s="10" t="s">
        <v>83</v>
      </c>
      <c r="M24" s="10" t="s">
        <v>80</v>
      </c>
      <c r="N24" s="10" t="s">
        <v>84</v>
      </c>
      <c r="O24" s="6">
        <v>1</v>
      </c>
    </row>
    <row r="25" spans="1:15" ht="15.6" x14ac:dyDescent="0.3">
      <c r="A25" s="10" t="s">
        <v>38</v>
      </c>
      <c r="B25" s="5">
        <v>3</v>
      </c>
      <c r="C25" s="5">
        <v>7</v>
      </c>
      <c r="D25" s="14">
        <v>33</v>
      </c>
      <c r="E25" s="5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10" t="s">
        <v>88</v>
      </c>
      <c r="L25" s="10" t="s">
        <v>95</v>
      </c>
      <c r="M25" s="10" t="s">
        <v>90</v>
      </c>
      <c r="N25" s="10" t="s">
        <v>87</v>
      </c>
      <c r="O25" s="6">
        <v>6</v>
      </c>
    </row>
    <row r="26" spans="1:15" ht="15.6" x14ac:dyDescent="0.3">
      <c r="A26" s="10" t="s">
        <v>39</v>
      </c>
      <c r="B26" s="5">
        <v>3</v>
      </c>
      <c r="C26" s="5">
        <v>10</v>
      </c>
      <c r="D26" s="14">
        <v>25</v>
      </c>
      <c r="E26" s="5">
        <v>0</v>
      </c>
      <c r="F26" s="5">
        <v>1</v>
      </c>
      <c r="G26" s="5">
        <v>0</v>
      </c>
      <c r="H26" s="5">
        <v>0</v>
      </c>
      <c r="I26" s="5">
        <v>0</v>
      </c>
      <c r="J26" s="5">
        <v>0</v>
      </c>
      <c r="K26" s="10" t="s">
        <v>88</v>
      </c>
      <c r="L26" s="10" t="s">
        <v>96</v>
      </c>
      <c r="M26" s="10" t="s">
        <v>90</v>
      </c>
      <c r="N26" s="10" t="s">
        <v>81</v>
      </c>
      <c r="O26" s="6">
        <v>11</v>
      </c>
    </row>
    <row r="27" spans="1:15" ht="15.6" x14ac:dyDescent="0.3">
      <c r="A27" s="10" t="s">
        <v>40</v>
      </c>
      <c r="B27" s="5">
        <v>1</v>
      </c>
      <c r="C27" s="5">
        <v>2</v>
      </c>
      <c r="D27" s="14">
        <v>29</v>
      </c>
      <c r="E27" s="5"/>
      <c r="F27" s="5"/>
      <c r="G27" s="5"/>
      <c r="H27" s="5"/>
      <c r="I27" s="5"/>
      <c r="J27" s="5"/>
    </row>
    <row r="28" spans="1:15" ht="15.6" x14ac:dyDescent="0.3">
      <c r="A28" s="10" t="s">
        <v>41</v>
      </c>
      <c r="B28" s="5">
        <v>3</v>
      </c>
      <c r="C28" s="5">
        <v>2</v>
      </c>
      <c r="D28" s="14">
        <v>25.5</v>
      </c>
      <c r="E28" s="5">
        <v>0</v>
      </c>
      <c r="F28" s="5">
        <v>1</v>
      </c>
      <c r="G28" s="5">
        <v>1</v>
      </c>
      <c r="H28" s="5">
        <v>0</v>
      </c>
      <c r="I28" s="5">
        <v>0</v>
      </c>
      <c r="J28" s="5">
        <v>0</v>
      </c>
      <c r="K28" s="10" t="s">
        <v>78</v>
      </c>
      <c r="L28" s="10" t="s">
        <v>95</v>
      </c>
      <c r="M28" s="10" t="s">
        <v>94</v>
      </c>
      <c r="N28" s="10" t="s">
        <v>87</v>
      </c>
      <c r="O28" s="6">
        <v>4</v>
      </c>
    </row>
    <row r="29" spans="1:15" ht="15.6" x14ac:dyDescent="0.3">
      <c r="A29" s="10" t="s">
        <v>42</v>
      </c>
      <c r="B29" s="5">
        <v>3</v>
      </c>
      <c r="C29" s="5">
        <v>12</v>
      </c>
      <c r="D29" s="14">
        <v>29.25</v>
      </c>
      <c r="E29" s="5">
        <v>1</v>
      </c>
      <c r="F29" s="5">
        <v>1</v>
      </c>
      <c r="G29" s="5">
        <v>0</v>
      </c>
      <c r="H29" s="5">
        <v>0</v>
      </c>
      <c r="I29" s="5">
        <v>0</v>
      </c>
      <c r="J29" s="5">
        <v>1</v>
      </c>
      <c r="K29" s="10" t="s">
        <v>78</v>
      </c>
      <c r="L29" s="10" t="s">
        <v>85</v>
      </c>
      <c r="M29" s="10" t="s">
        <v>94</v>
      </c>
      <c r="N29" s="10" t="s">
        <v>101</v>
      </c>
      <c r="O29" s="6">
        <v>2</v>
      </c>
    </row>
    <row r="30" spans="1:15" ht="15.6" x14ac:dyDescent="0.3">
      <c r="A30" s="10" t="s">
        <v>43</v>
      </c>
      <c r="B30" s="5">
        <v>1</v>
      </c>
      <c r="C30" s="5">
        <v>1</v>
      </c>
      <c r="D30" s="14">
        <v>30</v>
      </c>
      <c r="E30" s="5">
        <v>0</v>
      </c>
      <c r="F30" s="5">
        <v>1</v>
      </c>
      <c r="G30" s="5">
        <v>0</v>
      </c>
      <c r="H30" s="5">
        <v>1</v>
      </c>
      <c r="I30" s="5">
        <v>1</v>
      </c>
      <c r="J30" s="5">
        <v>0</v>
      </c>
      <c r="K30" s="10" t="s">
        <v>88</v>
      </c>
      <c r="L30" s="10" t="s">
        <v>79</v>
      </c>
      <c r="M30" s="10" t="s">
        <v>80</v>
      </c>
      <c r="N30" s="10" t="s">
        <v>84</v>
      </c>
      <c r="O30" s="6">
        <v>1</v>
      </c>
    </row>
    <row r="31" spans="1:15" ht="15.6" x14ac:dyDescent="0.3">
      <c r="A31" s="10" t="s">
        <v>44</v>
      </c>
      <c r="B31" s="5">
        <v>1</v>
      </c>
      <c r="C31" s="5">
        <v>1</v>
      </c>
      <c r="D31" s="14">
        <v>34</v>
      </c>
      <c r="E31" s="5">
        <v>0</v>
      </c>
      <c r="F31" s="5">
        <v>1</v>
      </c>
      <c r="G31" s="5">
        <v>0</v>
      </c>
      <c r="H31" s="5">
        <v>0</v>
      </c>
      <c r="I31" s="5">
        <v>0</v>
      </c>
      <c r="J31" s="5">
        <v>0</v>
      </c>
      <c r="K31" s="10" t="s">
        <v>78</v>
      </c>
      <c r="L31" s="10" t="s">
        <v>79</v>
      </c>
      <c r="M31" s="10" t="s">
        <v>90</v>
      </c>
      <c r="N31" s="10" t="s">
        <v>81</v>
      </c>
      <c r="O31" s="6">
        <v>4</v>
      </c>
    </row>
    <row r="32" spans="1:15" ht="15.6" x14ac:dyDescent="0.3">
      <c r="A32" s="10" t="s">
        <v>45</v>
      </c>
      <c r="B32" s="5">
        <v>2</v>
      </c>
      <c r="C32" s="5">
        <v>1</v>
      </c>
      <c r="D32" s="14">
        <v>72</v>
      </c>
      <c r="E32" s="5">
        <v>1</v>
      </c>
      <c r="F32" s="5">
        <v>1</v>
      </c>
      <c r="G32" s="5">
        <v>0</v>
      </c>
      <c r="H32" s="5">
        <v>0</v>
      </c>
      <c r="I32" s="5">
        <v>0</v>
      </c>
      <c r="J32" s="5">
        <v>0</v>
      </c>
      <c r="K32" s="10" t="s">
        <v>88</v>
      </c>
      <c r="L32" s="10" t="s">
        <v>79</v>
      </c>
      <c r="M32" s="10" t="s">
        <v>80</v>
      </c>
      <c r="N32" s="10" t="s">
        <v>97</v>
      </c>
      <c r="O32" s="6">
        <v>1</v>
      </c>
    </row>
    <row r="33" spans="1:15" ht="15.6" x14ac:dyDescent="0.3">
      <c r="A33" s="10" t="s">
        <v>46</v>
      </c>
      <c r="B33" s="5">
        <v>1</v>
      </c>
      <c r="C33" s="5">
        <v>1</v>
      </c>
      <c r="D33" s="14">
        <v>60.75</v>
      </c>
      <c r="E33" s="5">
        <v>0</v>
      </c>
      <c r="F33" s="5">
        <v>0</v>
      </c>
      <c r="G33" s="5">
        <v>1</v>
      </c>
      <c r="H33" s="5">
        <v>0</v>
      </c>
      <c r="I33" s="5">
        <v>0</v>
      </c>
      <c r="J33" s="5">
        <v>0</v>
      </c>
      <c r="K33" s="10" t="s">
        <v>88</v>
      </c>
      <c r="L33" s="10" t="s">
        <v>79</v>
      </c>
      <c r="M33" s="10" t="s">
        <v>99</v>
      </c>
      <c r="N33" s="10" t="s">
        <v>81</v>
      </c>
      <c r="O33" s="6">
        <v>3</v>
      </c>
    </row>
    <row r="34" spans="1:15" ht="15.6" x14ac:dyDescent="0.3">
      <c r="A34" s="10" t="s">
        <v>47</v>
      </c>
      <c r="B34" s="5">
        <v>1</v>
      </c>
      <c r="C34" s="5">
        <v>3</v>
      </c>
      <c r="D34" s="14">
        <v>73</v>
      </c>
      <c r="E34" s="5">
        <v>1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10" t="s">
        <v>88</v>
      </c>
      <c r="L34" s="10" t="s">
        <v>79</v>
      </c>
      <c r="M34" s="10" t="s">
        <v>80</v>
      </c>
      <c r="N34" s="10" t="s">
        <v>84</v>
      </c>
      <c r="O34" s="6">
        <v>1</v>
      </c>
    </row>
    <row r="35" spans="1:15" ht="15.6" x14ac:dyDescent="0.3">
      <c r="A35" s="10" t="s">
        <v>48</v>
      </c>
      <c r="B35" s="5">
        <v>2</v>
      </c>
      <c r="C35" s="5">
        <v>6</v>
      </c>
      <c r="D35" s="14">
        <v>79.5</v>
      </c>
      <c r="E35" s="5">
        <v>0</v>
      </c>
      <c r="F35" s="5">
        <v>0</v>
      </c>
      <c r="G35" s="5">
        <v>0</v>
      </c>
      <c r="H35" s="5">
        <v>1</v>
      </c>
      <c r="I35" s="5">
        <v>1</v>
      </c>
      <c r="J35" s="5">
        <v>0</v>
      </c>
      <c r="K35" s="10" t="s">
        <v>88</v>
      </c>
      <c r="L35" s="10" t="s">
        <v>91</v>
      </c>
      <c r="M35" s="10" t="s">
        <v>94</v>
      </c>
      <c r="N35" s="10" t="s">
        <v>81</v>
      </c>
      <c r="O35" s="6">
        <v>5</v>
      </c>
    </row>
    <row r="36" spans="1:15" ht="15.6" x14ac:dyDescent="0.3">
      <c r="A36" s="10" t="s">
        <v>49</v>
      </c>
      <c r="B36" s="5">
        <v>3</v>
      </c>
      <c r="C36" s="5">
        <v>6</v>
      </c>
      <c r="D36" s="14">
        <v>26.75</v>
      </c>
      <c r="E36" s="5">
        <v>0</v>
      </c>
      <c r="F36" s="5">
        <v>0</v>
      </c>
      <c r="G36" s="5">
        <v>1</v>
      </c>
      <c r="H36" s="5">
        <v>0</v>
      </c>
      <c r="I36" s="5">
        <v>0</v>
      </c>
      <c r="J36" s="5">
        <v>0</v>
      </c>
      <c r="K36" s="10" t="s">
        <v>78</v>
      </c>
      <c r="L36" s="10" t="s">
        <v>79</v>
      </c>
      <c r="M36" s="10" t="s">
        <v>99</v>
      </c>
      <c r="N36" s="10" t="s">
        <v>81</v>
      </c>
      <c r="O36" s="6">
        <v>1</v>
      </c>
    </row>
    <row r="37" spans="1:15" ht="15.6" x14ac:dyDescent="0.3">
      <c r="A37" s="10" t="s">
        <v>50</v>
      </c>
      <c r="B37" s="5">
        <v>1</v>
      </c>
      <c r="C37" s="5">
        <v>2</v>
      </c>
      <c r="D37" s="14">
        <v>64.5</v>
      </c>
      <c r="E37" s="5">
        <v>1</v>
      </c>
      <c r="F37" s="5">
        <v>1</v>
      </c>
      <c r="G37" s="5">
        <v>0</v>
      </c>
      <c r="H37" s="5">
        <v>0</v>
      </c>
      <c r="I37" s="5">
        <v>0</v>
      </c>
      <c r="J37" s="5">
        <v>0</v>
      </c>
      <c r="K37" s="10" t="s">
        <v>88</v>
      </c>
      <c r="L37" s="10" t="s">
        <v>79</v>
      </c>
      <c r="M37" s="10" t="s">
        <v>98</v>
      </c>
      <c r="N37" s="10" t="s">
        <v>81</v>
      </c>
      <c r="O37" s="6">
        <v>1</v>
      </c>
    </row>
    <row r="38" spans="1:15" ht="15.6" x14ac:dyDescent="0.3">
      <c r="A38" s="10" t="s">
        <v>51</v>
      </c>
      <c r="B38" s="5">
        <v>1</v>
      </c>
      <c r="C38" s="5">
        <v>1</v>
      </c>
      <c r="D38" s="14">
        <v>53</v>
      </c>
      <c r="E38" s="5">
        <v>1</v>
      </c>
      <c r="F38" s="5">
        <v>1</v>
      </c>
      <c r="G38" s="5">
        <v>0</v>
      </c>
      <c r="H38" s="5">
        <v>0</v>
      </c>
      <c r="I38" s="5">
        <v>0</v>
      </c>
      <c r="J38" s="5">
        <v>0</v>
      </c>
      <c r="K38" s="10" t="s">
        <v>88</v>
      </c>
      <c r="L38" s="10" t="s">
        <v>91</v>
      </c>
      <c r="M38" s="10" t="s">
        <v>80</v>
      </c>
      <c r="N38" s="10" t="s">
        <v>101</v>
      </c>
      <c r="O38" s="6">
        <v>1</v>
      </c>
    </row>
    <row r="39" spans="1:15" ht="15.6" x14ac:dyDescent="0.3">
      <c r="A39" s="10" t="s">
        <v>52</v>
      </c>
      <c r="B39" s="5">
        <v>1</v>
      </c>
      <c r="C39" s="5">
        <v>1</v>
      </c>
      <c r="D39" s="14">
        <v>60</v>
      </c>
      <c r="E39" s="5">
        <v>0</v>
      </c>
      <c r="F39" s="5">
        <v>0</v>
      </c>
      <c r="G39" s="5">
        <v>1</v>
      </c>
      <c r="H39" s="5">
        <v>0</v>
      </c>
      <c r="I39" s="5">
        <v>0</v>
      </c>
      <c r="J39" s="5">
        <v>0</v>
      </c>
      <c r="K39" s="10" t="s">
        <v>88</v>
      </c>
      <c r="L39" s="10" t="s">
        <v>79</v>
      </c>
      <c r="M39" s="10" t="s">
        <v>80</v>
      </c>
      <c r="N39" s="10" t="s">
        <v>84</v>
      </c>
      <c r="O39" s="6">
        <v>1</v>
      </c>
    </row>
    <row r="40" spans="1:15" ht="15.6" x14ac:dyDescent="0.3">
      <c r="A40" s="10" t="s">
        <v>53</v>
      </c>
      <c r="B40" s="5">
        <v>2</v>
      </c>
      <c r="C40" s="5">
        <v>12</v>
      </c>
      <c r="D40" s="14">
        <v>45.75</v>
      </c>
      <c r="E40" s="5">
        <v>1</v>
      </c>
      <c r="F40" s="5">
        <v>1</v>
      </c>
      <c r="G40" s="5">
        <v>1</v>
      </c>
      <c r="H40" s="5">
        <v>0</v>
      </c>
      <c r="I40" s="5">
        <v>0</v>
      </c>
      <c r="J40" s="5">
        <v>0</v>
      </c>
      <c r="K40" s="10" t="s">
        <v>78</v>
      </c>
      <c r="L40" s="10" t="s">
        <v>83</v>
      </c>
      <c r="M40" s="10" t="s">
        <v>99</v>
      </c>
      <c r="N40" s="10" t="s">
        <v>81</v>
      </c>
      <c r="O40" s="6">
        <v>2</v>
      </c>
    </row>
    <row r="41" spans="1:15" ht="15.6" x14ac:dyDescent="0.3">
      <c r="A41" s="10" t="s">
        <v>54</v>
      </c>
      <c r="B41" s="5">
        <v>3</v>
      </c>
      <c r="C41" s="5">
        <v>7</v>
      </c>
      <c r="D41" s="14">
        <v>42.5</v>
      </c>
      <c r="E41" s="5">
        <v>0</v>
      </c>
      <c r="F41" s="5">
        <v>1</v>
      </c>
      <c r="G41" s="5">
        <v>1</v>
      </c>
      <c r="H41" s="5">
        <v>0</v>
      </c>
      <c r="I41" s="5">
        <v>0</v>
      </c>
      <c r="J41" s="5">
        <v>0</v>
      </c>
      <c r="K41" s="10" t="s">
        <v>88</v>
      </c>
      <c r="L41" s="10" t="s">
        <v>79</v>
      </c>
      <c r="M41" s="10" t="s">
        <v>80</v>
      </c>
      <c r="N41" s="10" t="s">
        <v>81</v>
      </c>
      <c r="O41" s="6">
        <v>1</v>
      </c>
    </row>
    <row r="42" spans="1:15" ht="15.6" x14ac:dyDescent="0.3">
      <c r="A42" s="10" t="s">
        <v>55</v>
      </c>
      <c r="B42" s="5">
        <v>2</v>
      </c>
      <c r="C42" s="5">
        <v>2</v>
      </c>
      <c r="D42" s="14">
        <v>44.5</v>
      </c>
      <c r="E42" s="5">
        <v>0</v>
      </c>
      <c r="F42" s="5">
        <v>0</v>
      </c>
      <c r="G42" s="5">
        <v>0</v>
      </c>
      <c r="H42" s="5">
        <v>0</v>
      </c>
      <c r="I42" s="5">
        <v>1</v>
      </c>
      <c r="J42" s="5">
        <v>0</v>
      </c>
      <c r="K42" s="10" t="s">
        <v>100</v>
      </c>
      <c r="L42" s="10" t="s">
        <v>79</v>
      </c>
      <c r="M42" s="10" t="s">
        <v>99</v>
      </c>
      <c r="N42" s="10" t="s">
        <v>81</v>
      </c>
      <c r="O42" s="6">
        <v>2</v>
      </c>
    </row>
    <row r="43" spans="1:15" ht="15.6" x14ac:dyDescent="0.3">
      <c r="A43" s="10" t="s">
        <v>56</v>
      </c>
      <c r="B43" s="5">
        <v>3</v>
      </c>
      <c r="C43" s="5">
        <v>1</v>
      </c>
      <c r="D43" s="14">
        <v>50</v>
      </c>
      <c r="E43" s="5">
        <v>0</v>
      </c>
      <c r="F43" s="5">
        <v>0</v>
      </c>
      <c r="G43" s="5">
        <v>0</v>
      </c>
      <c r="H43" s="5">
        <v>1</v>
      </c>
      <c r="I43" s="5">
        <v>0</v>
      </c>
      <c r="J43" s="5">
        <v>0</v>
      </c>
      <c r="K43" s="10" t="s">
        <v>88</v>
      </c>
      <c r="L43" s="10" t="s">
        <v>79</v>
      </c>
      <c r="M43" s="10" t="s">
        <v>84</v>
      </c>
      <c r="N43" s="10" t="s">
        <v>81</v>
      </c>
      <c r="O43" s="6">
        <v>1</v>
      </c>
    </row>
    <row r="44" spans="1:15" ht="15.6" x14ac:dyDescent="0.3">
      <c r="A44" s="10" t="s">
        <v>57</v>
      </c>
      <c r="B44" s="5">
        <v>1</v>
      </c>
      <c r="C44" s="5">
        <v>10</v>
      </c>
      <c r="D44" s="14">
        <v>40.75</v>
      </c>
      <c r="E44" s="5">
        <v>0</v>
      </c>
      <c r="F44" s="5">
        <v>1</v>
      </c>
      <c r="G44" s="5">
        <v>0</v>
      </c>
      <c r="H44" s="5">
        <v>0</v>
      </c>
      <c r="I44" s="5">
        <v>0</v>
      </c>
      <c r="J44" s="5">
        <v>0</v>
      </c>
      <c r="K44" s="10" t="s">
        <v>78</v>
      </c>
      <c r="L44" s="10" t="s">
        <v>79</v>
      </c>
      <c r="M44" s="10" t="s">
        <v>86</v>
      </c>
      <c r="N44" s="10" t="s">
        <v>87</v>
      </c>
      <c r="O44" s="6">
        <v>1</v>
      </c>
    </row>
    <row r="45" spans="1:15" ht="15.6" x14ac:dyDescent="0.3">
      <c r="A45" s="10" t="s">
        <v>58</v>
      </c>
      <c r="B45" s="5">
        <v>1</v>
      </c>
      <c r="C45" s="5">
        <v>1</v>
      </c>
      <c r="D45" s="14">
        <v>55</v>
      </c>
      <c r="E45" s="5">
        <v>0</v>
      </c>
      <c r="F45" s="5">
        <v>1</v>
      </c>
      <c r="G45" s="5">
        <v>0</v>
      </c>
      <c r="H45" s="5">
        <v>0</v>
      </c>
      <c r="I45" s="5">
        <v>0</v>
      </c>
      <c r="J45" s="5">
        <v>0</v>
      </c>
      <c r="K45" s="10" t="s">
        <v>88</v>
      </c>
      <c r="L45" s="10" t="s">
        <v>79</v>
      </c>
      <c r="M45" s="10" t="s">
        <v>80</v>
      </c>
      <c r="N45" s="10" t="s">
        <v>81</v>
      </c>
      <c r="O45" s="6">
        <v>1</v>
      </c>
    </row>
    <row r="46" spans="1:15" ht="15.6" x14ac:dyDescent="0.3">
      <c r="A46" s="10" t="s">
        <v>59</v>
      </c>
      <c r="B46" s="5">
        <v>2</v>
      </c>
      <c r="C46" s="5">
        <v>4</v>
      </c>
      <c r="D46" s="14">
        <v>35.75</v>
      </c>
      <c r="E46" s="5">
        <v>0</v>
      </c>
      <c r="F46" s="5">
        <v>0</v>
      </c>
      <c r="G46" s="5">
        <v>1</v>
      </c>
      <c r="H46" s="5">
        <v>0</v>
      </c>
      <c r="I46" s="5">
        <v>0</v>
      </c>
      <c r="J46" s="5">
        <v>0</v>
      </c>
      <c r="K46" s="10" t="s">
        <v>78</v>
      </c>
      <c r="L46" s="10" t="s">
        <v>79</v>
      </c>
      <c r="M46" s="10" t="s">
        <v>94</v>
      </c>
      <c r="N46" s="10" t="s">
        <v>84</v>
      </c>
      <c r="O46" s="6">
        <v>4</v>
      </c>
    </row>
    <row r="47" spans="1:15" ht="15.6" x14ac:dyDescent="0.3">
      <c r="A47" s="10" t="s">
        <v>60</v>
      </c>
      <c r="B47" s="5">
        <v>3</v>
      </c>
      <c r="C47" s="5">
        <v>9</v>
      </c>
      <c r="D47" s="14">
        <v>37</v>
      </c>
      <c r="E47" s="5">
        <v>0</v>
      </c>
      <c r="F47" s="5">
        <v>1</v>
      </c>
      <c r="G47" s="5">
        <v>0</v>
      </c>
      <c r="H47" s="5">
        <v>0</v>
      </c>
      <c r="I47" s="5">
        <v>0</v>
      </c>
      <c r="J47" s="5">
        <v>0</v>
      </c>
      <c r="K47" s="10" t="s">
        <v>88</v>
      </c>
      <c r="L47" s="10" t="s">
        <v>79</v>
      </c>
      <c r="M47" s="10" t="s">
        <v>80</v>
      </c>
      <c r="N47" s="10" t="s">
        <v>81</v>
      </c>
      <c r="O47" s="6">
        <v>11</v>
      </c>
    </row>
    <row r="48" spans="1:15" ht="15.6" x14ac:dyDescent="0.3">
      <c r="A48" s="10" t="s">
        <v>61</v>
      </c>
      <c r="B48" s="5">
        <v>1</v>
      </c>
      <c r="C48" s="5">
        <v>9</v>
      </c>
      <c r="D48" s="14">
        <v>62</v>
      </c>
      <c r="E48" s="5">
        <v>0</v>
      </c>
      <c r="F48" s="5">
        <v>0</v>
      </c>
      <c r="G48" s="5">
        <v>0</v>
      </c>
      <c r="H48" s="5">
        <v>1</v>
      </c>
      <c r="I48" s="5">
        <v>0</v>
      </c>
      <c r="J48" s="5">
        <v>0</v>
      </c>
      <c r="K48" s="10" t="s">
        <v>88</v>
      </c>
      <c r="L48" s="10" t="s">
        <v>83</v>
      </c>
      <c r="M48" s="10" t="s">
        <v>98</v>
      </c>
      <c r="N48" s="10" t="s">
        <v>81</v>
      </c>
      <c r="O48" s="6">
        <v>3</v>
      </c>
    </row>
    <row r="49" spans="1:15" ht="15.6" x14ac:dyDescent="0.3">
      <c r="A49" s="10" t="s">
        <v>62</v>
      </c>
      <c r="B49" s="5">
        <v>3</v>
      </c>
      <c r="C49" s="5">
        <v>7</v>
      </c>
      <c r="D49" s="14">
        <v>38</v>
      </c>
      <c r="E49" s="5">
        <v>0</v>
      </c>
      <c r="F49" s="5">
        <v>1</v>
      </c>
      <c r="G49" s="5">
        <v>1</v>
      </c>
      <c r="H49" s="5">
        <v>0</v>
      </c>
      <c r="I49" s="5">
        <v>0</v>
      </c>
      <c r="J49" s="5">
        <v>0</v>
      </c>
      <c r="K49" s="10" t="s">
        <v>88</v>
      </c>
      <c r="L49" s="10" t="s">
        <v>83</v>
      </c>
      <c r="M49" s="10" t="s">
        <v>99</v>
      </c>
      <c r="N49" s="10" t="s">
        <v>81</v>
      </c>
      <c r="O49" s="6">
        <v>1</v>
      </c>
    </row>
    <row r="50" spans="1:15" ht="15.6" x14ac:dyDescent="0.3">
      <c r="A50" s="10" t="s">
        <v>63</v>
      </c>
      <c r="B50" s="5">
        <v>3</v>
      </c>
      <c r="C50" s="5">
        <v>2</v>
      </c>
      <c r="D50" s="14">
        <v>45</v>
      </c>
      <c r="E50" s="5"/>
      <c r="F50" s="5"/>
      <c r="G50" s="5"/>
      <c r="H50" s="5"/>
      <c r="I50" s="5"/>
      <c r="J50" s="5"/>
    </row>
    <row r="51" spans="1:15" ht="15.6" x14ac:dyDescent="0.3">
      <c r="A51" s="10" t="s">
        <v>64</v>
      </c>
      <c r="B51" s="5">
        <v>3</v>
      </c>
      <c r="C51" s="5">
        <v>3</v>
      </c>
      <c r="D51" s="14">
        <v>56.25</v>
      </c>
      <c r="E51" s="5">
        <v>0</v>
      </c>
      <c r="F51" s="5">
        <v>0</v>
      </c>
      <c r="G51" s="5">
        <v>1</v>
      </c>
      <c r="H51" s="5">
        <v>0</v>
      </c>
      <c r="I51" s="5">
        <v>0</v>
      </c>
      <c r="J51" s="5">
        <v>0</v>
      </c>
      <c r="K51" s="10" t="s">
        <v>88</v>
      </c>
      <c r="L51" s="10" t="s">
        <v>89</v>
      </c>
      <c r="M51" s="10" t="s">
        <v>92</v>
      </c>
      <c r="N51" s="10" t="s">
        <v>81</v>
      </c>
      <c r="O51" s="6">
        <v>4</v>
      </c>
    </row>
    <row r="52" spans="1:15" ht="15.6" x14ac:dyDescent="0.3">
      <c r="A52" s="10" t="s">
        <v>65</v>
      </c>
      <c r="B52" s="5">
        <v>3</v>
      </c>
      <c r="C52" s="5">
        <v>7</v>
      </c>
      <c r="D52" s="14">
        <v>53.5</v>
      </c>
      <c r="E52" s="5">
        <v>0</v>
      </c>
      <c r="F52" s="5">
        <v>0</v>
      </c>
      <c r="G52" s="5">
        <v>1</v>
      </c>
      <c r="H52" s="5">
        <v>0</v>
      </c>
      <c r="I52" s="5">
        <v>0</v>
      </c>
      <c r="J52" s="5">
        <v>0</v>
      </c>
      <c r="K52" s="10" t="s">
        <v>78</v>
      </c>
      <c r="L52" s="10" t="s">
        <v>95</v>
      </c>
      <c r="M52" s="10" t="s">
        <v>86</v>
      </c>
      <c r="N52" s="10" t="s">
        <v>87</v>
      </c>
      <c r="O52" s="6">
        <v>24</v>
      </c>
    </row>
    <row r="54" spans="1:15" x14ac:dyDescent="0.3">
      <c r="A54" s="11"/>
    </row>
    <row r="55" spans="1:15" x14ac:dyDescent="0.3">
      <c r="A55" s="11"/>
    </row>
    <row r="56" spans="1:15" x14ac:dyDescent="0.3">
      <c r="A56" s="11"/>
    </row>
    <row r="57" spans="1:15" x14ac:dyDescent="0.3">
      <c r="A57" s="11"/>
    </row>
    <row r="58" spans="1:15" x14ac:dyDescent="0.3">
      <c r="A58" s="11"/>
    </row>
    <row r="59" spans="1:15" x14ac:dyDescent="0.3">
      <c r="A59" s="11"/>
    </row>
    <row r="60" spans="1:15" x14ac:dyDescent="0.3">
      <c r="A60" s="11"/>
    </row>
    <row r="61" spans="1:15" x14ac:dyDescent="0.3">
      <c r="A61" s="11"/>
    </row>
    <row r="62" spans="1:15" x14ac:dyDescent="0.3">
      <c r="A62" s="11"/>
    </row>
    <row r="63" spans="1:15" x14ac:dyDescent="0.3">
      <c r="A63" s="11"/>
    </row>
    <row r="64" spans="1:15" x14ac:dyDescent="0.3">
      <c r="A64" s="11"/>
    </row>
    <row r="65" spans="1:1" x14ac:dyDescent="0.3">
      <c r="A65" s="11"/>
    </row>
    <row r="66" spans="1:1" x14ac:dyDescent="0.3">
      <c r="A66" s="11"/>
    </row>
    <row r="67" spans="1:1" x14ac:dyDescent="0.3">
      <c r="A67" s="11"/>
    </row>
    <row r="68" spans="1:1" x14ac:dyDescent="0.3">
      <c r="A68" s="11"/>
    </row>
    <row r="69" spans="1:1" x14ac:dyDescent="0.3">
      <c r="A69" s="11"/>
    </row>
    <row r="70" spans="1:1" x14ac:dyDescent="0.3">
      <c r="A70" s="11"/>
    </row>
    <row r="71" spans="1:1" x14ac:dyDescent="0.3">
      <c r="A71" s="11"/>
    </row>
    <row r="72" spans="1:1" x14ac:dyDescent="0.3">
      <c r="A72" s="11"/>
    </row>
    <row r="73" spans="1:1" x14ac:dyDescent="0.3">
      <c r="A73" s="11"/>
    </row>
    <row r="74" spans="1:1" x14ac:dyDescent="0.3">
      <c r="A74" s="11"/>
    </row>
    <row r="75" spans="1:1" x14ac:dyDescent="0.3">
      <c r="A75" s="11"/>
    </row>
    <row r="76" spans="1:1" x14ac:dyDescent="0.3">
      <c r="A76" s="11"/>
    </row>
    <row r="77" spans="1:1" x14ac:dyDescent="0.3">
      <c r="A77" s="11"/>
    </row>
    <row r="78" spans="1:1" x14ac:dyDescent="0.3">
      <c r="A78" s="11"/>
    </row>
    <row r="79" spans="1:1" x14ac:dyDescent="0.3">
      <c r="A79" s="11"/>
    </row>
    <row r="80" spans="1:1" x14ac:dyDescent="0.3">
      <c r="A80" s="11"/>
    </row>
    <row r="81" spans="1:1" x14ac:dyDescent="0.3">
      <c r="A81" s="11"/>
    </row>
    <row r="82" spans="1:1" x14ac:dyDescent="0.3">
      <c r="A82" s="11"/>
    </row>
    <row r="83" spans="1:1" x14ac:dyDescent="0.3">
      <c r="A83" s="11"/>
    </row>
    <row r="84" spans="1:1" x14ac:dyDescent="0.3">
      <c r="A84" s="11"/>
    </row>
    <row r="85" spans="1:1" x14ac:dyDescent="0.3">
      <c r="A85" s="11"/>
    </row>
    <row r="86" spans="1:1" x14ac:dyDescent="0.3">
      <c r="A86" s="11"/>
    </row>
    <row r="87" spans="1:1" x14ac:dyDescent="0.3">
      <c r="A87" s="11"/>
    </row>
    <row r="88" spans="1:1" x14ac:dyDescent="0.3">
      <c r="A88" s="11"/>
    </row>
    <row r="89" spans="1:1" x14ac:dyDescent="0.3">
      <c r="A89" s="11"/>
    </row>
    <row r="90" spans="1:1" x14ac:dyDescent="0.3">
      <c r="A90" s="11"/>
    </row>
    <row r="91" spans="1:1" x14ac:dyDescent="0.3">
      <c r="A91" s="11"/>
    </row>
    <row r="92" spans="1:1" x14ac:dyDescent="0.3">
      <c r="A92" s="11"/>
    </row>
    <row r="93" spans="1:1" x14ac:dyDescent="0.3">
      <c r="A93" s="11"/>
    </row>
    <row r="94" spans="1:1" x14ac:dyDescent="0.3">
      <c r="A94" s="11"/>
    </row>
    <row r="95" spans="1:1" x14ac:dyDescent="0.3">
      <c r="A95" s="11"/>
    </row>
    <row r="96" spans="1:1" x14ac:dyDescent="0.3">
      <c r="A96" s="11"/>
    </row>
    <row r="97" spans="1:1" x14ac:dyDescent="0.3">
      <c r="A97" s="11"/>
    </row>
    <row r="98" spans="1:1" x14ac:dyDescent="0.3">
      <c r="A98" s="11"/>
    </row>
    <row r="99" spans="1:1" x14ac:dyDescent="0.3">
      <c r="A99" s="11"/>
    </row>
    <row r="100" spans="1:1" x14ac:dyDescent="0.3">
      <c r="A100" s="11"/>
    </row>
    <row r="101" spans="1:1" x14ac:dyDescent="0.3">
      <c r="A101" s="11"/>
    </row>
    <row r="102" spans="1:1" x14ac:dyDescent="0.3">
      <c r="A102" s="11"/>
    </row>
    <row r="103" spans="1:1" x14ac:dyDescent="0.3">
      <c r="A103" s="11"/>
    </row>
    <row r="104" spans="1:1" x14ac:dyDescent="0.3">
      <c r="A104" s="11"/>
    </row>
  </sheetData>
  <phoneticPr fontId="6" alignment="center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D63B2-0113-400A-BEFA-2AE61DD0D5FF}">
  <dimension ref="A1:N288"/>
  <sheetViews>
    <sheetView workbookViewId="0">
      <selection activeCell="H7" sqref="H7"/>
    </sheetView>
  </sheetViews>
  <sheetFormatPr defaultRowHeight="14.4" x14ac:dyDescent="0.3"/>
  <sheetData>
    <row r="1" spans="1:14" x14ac:dyDescent="0.3">
      <c r="A1" t="s">
        <v>0</v>
      </c>
      <c r="B1" t="s">
        <v>66</v>
      </c>
      <c r="C1" t="s">
        <v>173</v>
      </c>
      <c r="D1" t="s">
        <v>174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102</v>
      </c>
      <c r="L1" t="s">
        <v>175</v>
      </c>
      <c r="M1" t="s">
        <v>144</v>
      </c>
      <c r="N1" t="s">
        <v>177</v>
      </c>
    </row>
    <row r="2" spans="1:14" x14ac:dyDescent="0.3">
      <c r="A2" t="s">
        <v>19</v>
      </c>
      <c r="B2">
        <v>2</v>
      </c>
      <c r="C2">
        <v>14</v>
      </c>
      <c r="D2">
        <v>28.25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 t="s">
        <v>1</v>
      </c>
      <c r="L2">
        <v>2</v>
      </c>
      <c r="M2">
        <v>35</v>
      </c>
      <c r="N2">
        <v>0</v>
      </c>
    </row>
    <row r="3" spans="1:14" x14ac:dyDescent="0.3">
      <c r="A3" t="s">
        <v>23</v>
      </c>
      <c r="B3">
        <v>2</v>
      </c>
      <c r="C3">
        <v>4</v>
      </c>
      <c r="D3">
        <v>24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 t="s">
        <v>1</v>
      </c>
      <c r="L3">
        <v>9</v>
      </c>
      <c r="M3">
        <v>35</v>
      </c>
      <c r="N3">
        <v>0</v>
      </c>
    </row>
    <row r="4" spans="1:14" x14ac:dyDescent="0.3">
      <c r="A4" t="s">
        <v>24</v>
      </c>
      <c r="B4">
        <v>1</v>
      </c>
      <c r="C4">
        <v>6</v>
      </c>
      <c r="D4">
        <v>26.5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 t="s">
        <v>1</v>
      </c>
      <c r="L4">
        <v>3</v>
      </c>
      <c r="M4">
        <v>35</v>
      </c>
      <c r="N4">
        <v>0</v>
      </c>
    </row>
    <row r="5" spans="1:14" x14ac:dyDescent="0.3">
      <c r="A5" t="s">
        <v>25</v>
      </c>
      <c r="B5">
        <v>3</v>
      </c>
      <c r="C5">
        <v>15</v>
      </c>
      <c r="D5">
        <v>46.5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 t="s">
        <v>1</v>
      </c>
      <c r="L5">
        <v>5</v>
      </c>
      <c r="M5">
        <v>35</v>
      </c>
      <c r="N5">
        <v>0</v>
      </c>
    </row>
    <row r="6" spans="1:14" x14ac:dyDescent="0.3">
      <c r="A6" t="s">
        <v>27</v>
      </c>
      <c r="B6">
        <v>3</v>
      </c>
      <c r="C6">
        <v>1</v>
      </c>
      <c r="D6">
        <v>59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 t="s">
        <v>1</v>
      </c>
      <c r="L6">
        <v>5</v>
      </c>
      <c r="M6">
        <v>35</v>
      </c>
      <c r="N6">
        <v>0</v>
      </c>
    </row>
    <row r="7" spans="1:14" x14ac:dyDescent="0.3">
      <c r="A7" t="s">
        <v>29</v>
      </c>
      <c r="B7">
        <v>3</v>
      </c>
      <c r="C7">
        <v>4</v>
      </c>
      <c r="D7">
        <v>37.25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 t="s">
        <v>1</v>
      </c>
      <c r="L7">
        <v>4</v>
      </c>
      <c r="M7">
        <v>35</v>
      </c>
      <c r="N7">
        <v>0</v>
      </c>
    </row>
    <row r="8" spans="1:14" x14ac:dyDescent="0.3">
      <c r="A8" t="s">
        <v>30</v>
      </c>
      <c r="B8">
        <v>3</v>
      </c>
      <c r="C8">
        <v>17</v>
      </c>
      <c r="D8">
        <v>56.25</v>
      </c>
      <c r="E8">
        <v>0</v>
      </c>
      <c r="F8">
        <v>0</v>
      </c>
      <c r="G8">
        <v>1</v>
      </c>
      <c r="H8">
        <v>1</v>
      </c>
      <c r="I8">
        <v>0</v>
      </c>
      <c r="J8">
        <v>0</v>
      </c>
      <c r="K8" t="s">
        <v>1</v>
      </c>
      <c r="L8">
        <v>7</v>
      </c>
      <c r="M8">
        <v>35</v>
      </c>
      <c r="N8">
        <v>0</v>
      </c>
    </row>
    <row r="9" spans="1:14" x14ac:dyDescent="0.3">
      <c r="A9" t="s">
        <v>176</v>
      </c>
      <c r="B9">
        <v>3</v>
      </c>
      <c r="C9">
        <v>5</v>
      </c>
      <c r="D9">
        <v>25</v>
      </c>
      <c r="E9">
        <v>1</v>
      </c>
      <c r="F9">
        <v>1</v>
      </c>
      <c r="G9">
        <v>0</v>
      </c>
      <c r="H9">
        <v>0</v>
      </c>
      <c r="I9">
        <v>0</v>
      </c>
      <c r="J9">
        <v>1</v>
      </c>
      <c r="K9" t="s">
        <v>1</v>
      </c>
      <c r="L9">
        <v>1</v>
      </c>
      <c r="M9">
        <v>35</v>
      </c>
      <c r="N9">
        <v>0</v>
      </c>
    </row>
    <row r="10" spans="1:14" x14ac:dyDescent="0.3">
      <c r="A10" t="s">
        <v>36</v>
      </c>
      <c r="B10">
        <v>2</v>
      </c>
      <c r="C10">
        <v>48</v>
      </c>
      <c r="D10">
        <v>25.75</v>
      </c>
      <c r="E10">
        <v>0</v>
      </c>
      <c r="F10">
        <v>1</v>
      </c>
      <c r="G10">
        <v>0</v>
      </c>
      <c r="H10">
        <v>1</v>
      </c>
      <c r="I10">
        <v>0</v>
      </c>
      <c r="J10">
        <v>0</v>
      </c>
      <c r="K10" t="s">
        <v>1</v>
      </c>
      <c r="L10">
        <v>3</v>
      </c>
      <c r="M10">
        <v>35</v>
      </c>
      <c r="N10">
        <v>0</v>
      </c>
    </row>
    <row r="11" spans="1:14" x14ac:dyDescent="0.3">
      <c r="A11" t="s">
        <v>42</v>
      </c>
      <c r="B11">
        <v>3</v>
      </c>
      <c r="C11">
        <v>12</v>
      </c>
      <c r="D11">
        <v>29.25</v>
      </c>
      <c r="E11">
        <v>1</v>
      </c>
      <c r="F11">
        <v>1</v>
      </c>
      <c r="G11">
        <v>0</v>
      </c>
      <c r="H11">
        <v>0</v>
      </c>
      <c r="I11">
        <v>0</v>
      </c>
      <c r="J11">
        <v>1</v>
      </c>
      <c r="K11" t="s">
        <v>1</v>
      </c>
      <c r="L11">
        <v>3</v>
      </c>
      <c r="M11">
        <v>35</v>
      </c>
      <c r="N11">
        <v>0</v>
      </c>
    </row>
    <row r="12" spans="1:14" x14ac:dyDescent="0.3">
      <c r="A12" t="s">
        <v>46</v>
      </c>
      <c r="B12">
        <v>1</v>
      </c>
      <c r="C12">
        <v>1</v>
      </c>
      <c r="D12">
        <v>60.75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 t="s">
        <v>1</v>
      </c>
      <c r="L12">
        <v>1</v>
      </c>
      <c r="M12">
        <v>35</v>
      </c>
      <c r="N12">
        <v>0</v>
      </c>
    </row>
    <row r="13" spans="1:14" x14ac:dyDescent="0.3">
      <c r="A13" t="s">
        <v>48</v>
      </c>
      <c r="B13">
        <v>2</v>
      </c>
      <c r="C13">
        <v>6</v>
      </c>
      <c r="D13">
        <v>79.5</v>
      </c>
      <c r="E13">
        <v>0</v>
      </c>
      <c r="F13">
        <v>0</v>
      </c>
      <c r="G13">
        <v>0</v>
      </c>
      <c r="H13">
        <v>1</v>
      </c>
      <c r="I13">
        <v>1</v>
      </c>
      <c r="J13">
        <v>0</v>
      </c>
      <c r="K13" t="s">
        <v>1</v>
      </c>
      <c r="L13">
        <v>2</v>
      </c>
      <c r="M13">
        <v>35</v>
      </c>
      <c r="N13">
        <v>0</v>
      </c>
    </row>
    <row r="14" spans="1:14" x14ac:dyDescent="0.3">
      <c r="A14" t="s">
        <v>49</v>
      </c>
      <c r="B14">
        <v>3</v>
      </c>
      <c r="C14">
        <v>6</v>
      </c>
      <c r="D14">
        <v>26.75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 t="s">
        <v>1</v>
      </c>
      <c r="L14">
        <v>1</v>
      </c>
      <c r="M14">
        <v>35</v>
      </c>
      <c r="N14">
        <v>0</v>
      </c>
    </row>
    <row r="15" spans="1:14" x14ac:dyDescent="0.3">
      <c r="A15" t="s">
        <v>53</v>
      </c>
      <c r="B15">
        <v>2</v>
      </c>
      <c r="C15">
        <v>12</v>
      </c>
      <c r="D15">
        <v>45.75</v>
      </c>
      <c r="E15">
        <v>1</v>
      </c>
      <c r="F15">
        <v>1</v>
      </c>
      <c r="G15">
        <v>1</v>
      </c>
      <c r="H15">
        <v>0</v>
      </c>
      <c r="I15">
        <v>0</v>
      </c>
      <c r="J15">
        <v>0</v>
      </c>
      <c r="K15" t="s">
        <v>1</v>
      </c>
      <c r="L15">
        <v>1</v>
      </c>
      <c r="M15">
        <v>35</v>
      </c>
      <c r="N15">
        <v>0</v>
      </c>
    </row>
    <row r="16" spans="1:14" x14ac:dyDescent="0.3">
      <c r="A16" t="s">
        <v>55</v>
      </c>
      <c r="B16">
        <v>2</v>
      </c>
      <c r="C16">
        <v>2</v>
      </c>
      <c r="D16">
        <v>44.5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 t="s">
        <v>1</v>
      </c>
      <c r="L16">
        <v>3</v>
      </c>
      <c r="M16">
        <v>35</v>
      </c>
      <c r="N16">
        <v>0</v>
      </c>
    </row>
    <row r="17" spans="1:14" x14ac:dyDescent="0.3">
      <c r="A17" t="s">
        <v>56</v>
      </c>
      <c r="B17">
        <v>3</v>
      </c>
      <c r="C17">
        <v>1</v>
      </c>
      <c r="D17">
        <v>50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 t="s">
        <v>1</v>
      </c>
      <c r="L17">
        <v>1</v>
      </c>
      <c r="M17">
        <v>35</v>
      </c>
      <c r="N17">
        <v>0</v>
      </c>
    </row>
    <row r="18" spans="1:14" x14ac:dyDescent="0.3">
      <c r="A18" t="s">
        <v>57</v>
      </c>
      <c r="B18">
        <v>1</v>
      </c>
      <c r="C18">
        <v>10</v>
      </c>
      <c r="D18">
        <v>40.75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 t="s">
        <v>1</v>
      </c>
      <c r="L18">
        <v>47</v>
      </c>
      <c r="M18">
        <v>35</v>
      </c>
      <c r="N18">
        <v>0</v>
      </c>
    </row>
    <row r="19" spans="1:14" x14ac:dyDescent="0.3">
      <c r="A19" t="s">
        <v>60</v>
      </c>
      <c r="B19">
        <v>3</v>
      </c>
      <c r="C19">
        <v>9</v>
      </c>
      <c r="D19">
        <v>37</v>
      </c>
      <c r="E19">
        <v>0</v>
      </c>
      <c r="F19">
        <v>1</v>
      </c>
      <c r="G19">
        <v>0</v>
      </c>
      <c r="H19">
        <v>0</v>
      </c>
      <c r="I19">
        <v>0</v>
      </c>
      <c r="J19">
        <v>0</v>
      </c>
      <c r="K19" t="s">
        <v>1</v>
      </c>
      <c r="L19">
        <v>5</v>
      </c>
      <c r="M19">
        <v>35</v>
      </c>
      <c r="N19">
        <v>0</v>
      </c>
    </row>
    <row r="20" spans="1:14" x14ac:dyDescent="0.3">
      <c r="A20" t="s">
        <v>61</v>
      </c>
      <c r="B20">
        <v>1</v>
      </c>
      <c r="C20">
        <v>9</v>
      </c>
      <c r="D20">
        <v>62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 t="s">
        <v>1</v>
      </c>
      <c r="L20">
        <v>2</v>
      </c>
      <c r="M20">
        <v>35</v>
      </c>
      <c r="N20">
        <v>0</v>
      </c>
    </row>
    <row r="21" spans="1:14" x14ac:dyDescent="0.3">
      <c r="A21" t="s">
        <v>63</v>
      </c>
      <c r="B21">
        <v>3</v>
      </c>
      <c r="C21">
        <v>2</v>
      </c>
      <c r="D21">
        <v>45</v>
      </c>
      <c r="K21" t="s">
        <v>1</v>
      </c>
      <c r="L21">
        <v>1</v>
      </c>
      <c r="M21">
        <v>35</v>
      </c>
      <c r="N21">
        <v>0</v>
      </c>
    </row>
    <row r="22" spans="1:14" x14ac:dyDescent="0.3">
      <c r="A22" t="s">
        <v>27</v>
      </c>
      <c r="B22">
        <v>3</v>
      </c>
      <c r="C22">
        <v>1</v>
      </c>
      <c r="D22">
        <v>59</v>
      </c>
      <c r="E22">
        <v>0</v>
      </c>
      <c r="F22">
        <v>0</v>
      </c>
      <c r="G22">
        <v>0</v>
      </c>
      <c r="H22">
        <v>1</v>
      </c>
      <c r="I22">
        <v>0</v>
      </c>
      <c r="J22">
        <v>0</v>
      </c>
      <c r="K22" t="s">
        <v>2</v>
      </c>
      <c r="L22">
        <v>2</v>
      </c>
      <c r="M22">
        <v>365</v>
      </c>
      <c r="N22">
        <v>0</v>
      </c>
    </row>
    <row r="23" spans="1:14" x14ac:dyDescent="0.3">
      <c r="A23" t="s">
        <v>30</v>
      </c>
      <c r="B23">
        <v>3</v>
      </c>
      <c r="C23">
        <v>17</v>
      </c>
      <c r="D23">
        <v>56.25</v>
      </c>
      <c r="E23">
        <v>0</v>
      </c>
      <c r="F23">
        <v>0</v>
      </c>
      <c r="G23">
        <v>1</v>
      </c>
      <c r="H23">
        <v>1</v>
      </c>
      <c r="I23">
        <v>0</v>
      </c>
      <c r="J23">
        <v>0</v>
      </c>
      <c r="K23" t="s">
        <v>2</v>
      </c>
      <c r="L23">
        <v>26</v>
      </c>
      <c r="M23">
        <v>365</v>
      </c>
      <c r="N23">
        <v>0</v>
      </c>
    </row>
    <row r="24" spans="1:14" x14ac:dyDescent="0.3">
      <c r="A24" t="s">
        <v>37</v>
      </c>
      <c r="B24">
        <v>1</v>
      </c>
      <c r="C24">
        <v>1</v>
      </c>
      <c r="D24">
        <v>32</v>
      </c>
      <c r="E24">
        <v>1</v>
      </c>
      <c r="F24">
        <v>1</v>
      </c>
      <c r="G24">
        <v>0</v>
      </c>
      <c r="H24">
        <v>0</v>
      </c>
      <c r="I24">
        <v>0</v>
      </c>
      <c r="J24">
        <v>1</v>
      </c>
      <c r="K24" t="s">
        <v>2</v>
      </c>
      <c r="L24">
        <v>2</v>
      </c>
      <c r="M24">
        <v>365</v>
      </c>
      <c r="N24">
        <v>0</v>
      </c>
    </row>
    <row r="25" spans="1:14" x14ac:dyDescent="0.3">
      <c r="A25" t="s">
        <v>44</v>
      </c>
      <c r="B25">
        <v>1</v>
      </c>
      <c r="C25">
        <v>1</v>
      </c>
      <c r="D25">
        <v>34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 t="s">
        <v>2</v>
      </c>
      <c r="L25">
        <v>3</v>
      </c>
      <c r="M25">
        <v>365</v>
      </c>
      <c r="N25">
        <v>0</v>
      </c>
    </row>
    <row r="26" spans="1:14" x14ac:dyDescent="0.3">
      <c r="A26" t="s">
        <v>46</v>
      </c>
      <c r="B26">
        <v>1</v>
      </c>
      <c r="C26">
        <v>1</v>
      </c>
      <c r="D26">
        <v>60.75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 t="s">
        <v>2</v>
      </c>
      <c r="L26">
        <v>1</v>
      </c>
      <c r="M26">
        <v>365</v>
      </c>
      <c r="N26">
        <v>0</v>
      </c>
    </row>
    <row r="27" spans="1:14" x14ac:dyDescent="0.3">
      <c r="A27" t="s">
        <v>49</v>
      </c>
      <c r="B27">
        <v>3</v>
      </c>
      <c r="C27">
        <v>6</v>
      </c>
      <c r="D27">
        <v>26.75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 t="s">
        <v>2</v>
      </c>
      <c r="L27">
        <v>1</v>
      </c>
      <c r="M27">
        <v>365</v>
      </c>
      <c r="N27">
        <v>0</v>
      </c>
    </row>
    <row r="28" spans="1:14" x14ac:dyDescent="0.3">
      <c r="A28" t="s">
        <v>50</v>
      </c>
      <c r="B28">
        <v>1</v>
      </c>
      <c r="C28">
        <v>2</v>
      </c>
      <c r="D28">
        <v>64.5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 t="s">
        <v>2</v>
      </c>
      <c r="L28">
        <v>1</v>
      </c>
      <c r="M28">
        <v>365</v>
      </c>
      <c r="N28">
        <v>0</v>
      </c>
    </row>
    <row r="29" spans="1:14" x14ac:dyDescent="0.3">
      <c r="A29" t="s">
        <v>51</v>
      </c>
      <c r="B29">
        <v>1</v>
      </c>
      <c r="C29">
        <v>1</v>
      </c>
      <c r="D29">
        <v>53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 t="s">
        <v>2</v>
      </c>
      <c r="L29">
        <v>5</v>
      </c>
      <c r="M29">
        <v>365</v>
      </c>
      <c r="N29">
        <v>0</v>
      </c>
    </row>
    <row r="30" spans="1:14" x14ac:dyDescent="0.3">
      <c r="A30" t="s">
        <v>52</v>
      </c>
      <c r="B30">
        <v>1</v>
      </c>
      <c r="C30">
        <v>1</v>
      </c>
      <c r="D30">
        <v>60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 t="s">
        <v>2</v>
      </c>
      <c r="L30">
        <v>9</v>
      </c>
      <c r="M30">
        <v>365</v>
      </c>
      <c r="N30">
        <v>0</v>
      </c>
    </row>
    <row r="31" spans="1:14" x14ac:dyDescent="0.3">
      <c r="A31" t="s">
        <v>54</v>
      </c>
      <c r="B31">
        <v>3</v>
      </c>
      <c r="C31">
        <v>7</v>
      </c>
      <c r="D31">
        <v>42.5</v>
      </c>
      <c r="E31">
        <v>0</v>
      </c>
      <c r="F31">
        <v>1</v>
      </c>
      <c r="G31">
        <v>1</v>
      </c>
      <c r="H31">
        <v>0</v>
      </c>
      <c r="I31">
        <v>0</v>
      </c>
      <c r="J31">
        <v>0</v>
      </c>
      <c r="K31" t="s">
        <v>2</v>
      </c>
      <c r="L31">
        <v>1</v>
      </c>
      <c r="M31">
        <v>365</v>
      </c>
      <c r="N31">
        <v>0</v>
      </c>
    </row>
    <row r="32" spans="1:14" x14ac:dyDescent="0.3">
      <c r="A32" t="s">
        <v>56</v>
      </c>
      <c r="B32">
        <v>3</v>
      </c>
      <c r="C32">
        <v>1</v>
      </c>
      <c r="D32">
        <v>50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 t="s">
        <v>2</v>
      </c>
      <c r="L32">
        <v>5</v>
      </c>
      <c r="M32">
        <v>365</v>
      </c>
      <c r="N32">
        <v>0</v>
      </c>
    </row>
    <row r="33" spans="1:14" x14ac:dyDescent="0.3">
      <c r="A33" t="s">
        <v>57</v>
      </c>
      <c r="B33">
        <v>1</v>
      </c>
      <c r="C33">
        <v>10</v>
      </c>
      <c r="D33">
        <v>40.75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 t="s">
        <v>2</v>
      </c>
      <c r="L33">
        <v>24</v>
      </c>
      <c r="M33">
        <v>365</v>
      </c>
      <c r="N33">
        <v>0</v>
      </c>
    </row>
    <row r="34" spans="1:14" x14ac:dyDescent="0.3">
      <c r="A34" t="s">
        <v>62</v>
      </c>
      <c r="B34">
        <v>3</v>
      </c>
      <c r="C34">
        <v>7</v>
      </c>
      <c r="D34">
        <v>38</v>
      </c>
      <c r="E34">
        <v>0</v>
      </c>
      <c r="F34">
        <v>1</v>
      </c>
      <c r="G34">
        <v>1</v>
      </c>
      <c r="H34">
        <v>0</v>
      </c>
      <c r="I34">
        <v>0</v>
      </c>
      <c r="J34">
        <v>0</v>
      </c>
      <c r="K34" t="s">
        <v>2</v>
      </c>
      <c r="L34">
        <v>2</v>
      </c>
      <c r="M34">
        <v>365</v>
      </c>
      <c r="N34">
        <v>0</v>
      </c>
    </row>
    <row r="35" spans="1:14" x14ac:dyDescent="0.3">
      <c r="A35" t="s">
        <v>64</v>
      </c>
      <c r="B35">
        <v>3</v>
      </c>
      <c r="C35">
        <v>3</v>
      </c>
      <c r="D35">
        <v>56.25</v>
      </c>
      <c r="E35">
        <v>0</v>
      </c>
      <c r="F35">
        <v>0</v>
      </c>
      <c r="G35">
        <v>1</v>
      </c>
      <c r="H35">
        <v>0</v>
      </c>
      <c r="I35">
        <v>0</v>
      </c>
      <c r="J35">
        <v>0</v>
      </c>
      <c r="K35" t="s">
        <v>2</v>
      </c>
      <c r="L35">
        <v>1</v>
      </c>
      <c r="M35">
        <v>365</v>
      </c>
      <c r="N35">
        <v>0</v>
      </c>
    </row>
    <row r="36" spans="1:14" x14ac:dyDescent="0.3">
      <c r="A36" t="s">
        <v>15</v>
      </c>
      <c r="B36">
        <v>3</v>
      </c>
      <c r="C36">
        <v>1</v>
      </c>
      <c r="D36">
        <v>73.5</v>
      </c>
      <c r="E36">
        <v>0</v>
      </c>
      <c r="F36">
        <v>0</v>
      </c>
      <c r="G36">
        <v>0</v>
      </c>
      <c r="H36">
        <v>1</v>
      </c>
      <c r="I36">
        <v>0</v>
      </c>
      <c r="J36">
        <v>0</v>
      </c>
      <c r="K36" t="s">
        <v>3</v>
      </c>
      <c r="L36">
        <v>1</v>
      </c>
      <c r="M36">
        <v>40</v>
      </c>
      <c r="N36">
        <v>1</v>
      </c>
    </row>
    <row r="37" spans="1:14" x14ac:dyDescent="0.3">
      <c r="A37" t="s">
        <v>18</v>
      </c>
      <c r="B37">
        <v>3</v>
      </c>
      <c r="C37">
        <v>2</v>
      </c>
      <c r="D37">
        <v>30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 t="s">
        <v>3</v>
      </c>
      <c r="L37">
        <v>2</v>
      </c>
      <c r="M37">
        <v>40</v>
      </c>
      <c r="N37">
        <v>1</v>
      </c>
    </row>
    <row r="38" spans="1:14" x14ac:dyDescent="0.3">
      <c r="A38" t="s">
        <v>19</v>
      </c>
      <c r="B38">
        <v>2</v>
      </c>
      <c r="C38">
        <v>14</v>
      </c>
      <c r="D38">
        <v>28.25</v>
      </c>
      <c r="E38">
        <v>0</v>
      </c>
      <c r="F38">
        <v>0</v>
      </c>
      <c r="G38">
        <v>1</v>
      </c>
      <c r="H38">
        <v>0</v>
      </c>
      <c r="I38">
        <v>0</v>
      </c>
      <c r="J38">
        <v>0</v>
      </c>
      <c r="K38" t="s">
        <v>3</v>
      </c>
      <c r="L38">
        <v>18</v>
      </c>
      <c r="M38">
        <v>40</v>
      </c>
      <c r="N38">
        <v>1</v>
      </c>
    </row>
    <row r="39" spans="1:14" x14ac:dyDescent="0.3">
      <c r="A39" t="s">
        <v>23</v>
      </c>
      <c r="B39">
        <v>2</v>
      </c>
      <c r="C39">
        <v>4</v>
      </c>
      <c r="D39">
        <v>24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 t="s">
        <v>3</v>
      </c>
      <c r="L39">
        <v>62</v>
      </c>
      <c r="M39">
        <v>40</v>
      </c>
      <c r="N39">
        <v>1</v>
      </c>
    </row>
    <row r="40" spans="1:14" x14ac:dyDescent="0.3">
      <c r="A40" t="s">
        <v>24</v>
      </c>
      <c r="B40">
        <v>1</v>
      </c>
      <c r="C40">
        <v>6</v>
      </c>
      <c r="D40">
        <v>26.5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 t="s">
        <v>3</v>
      </c>
      <c r="L40">
        <v>12</v>
      </c>
      <c r="M40">
        <v>40</v>
      </c>
      <c r="N40">
        <v>1</v>
      </c>
    </row>
    <row r="41" spans="1:14" x14ac:dyDescent="0.3">
      <c r="A41" t="s">
        <v>25</v>
      </c>
      <c r="B41">
        <v>3</v>
      </c>
      <c r="C41">
        <v>15</v>
      </c>
      <c r="D41">
        <v>46.5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 t="s">
        <v>3</v>
      </c>
      <c r="L41">
        <v>20</v>
      </c>
      <c r="M41">
        <v>40</v>
      </c>
      <c r="N41">
        <v>1</v>
      </c>
    </row>
    <row r="42" spans="1:14" x14ac:dyDescent="0.3">
      <c r="A42" t="s">
        <v>27</v>
      </c>
      <c r="B42">
        <v>3</v>
      </c>
      <c r="C42">
        <v>1</v>
      </c>
      <c r="D42">
        <v>59</v>
      </c>
      <c r="E42">
        <v>0</v>
      </c>
      <c r="F42">
        <v>0</v>
      </c>
      <c r="G42">
        <v>0</v>
      </c>
      <c r="H42">
        <v>1</v>
      </c>
      <c r="I42">
        <v>0</v>
      </c>
      <c r="J42">
        <v>0</v>
      </c>
      <c r="K42" t="s">
        <v>3</v>
      </c>
      <c r="L42">
        <v>25</v>
      </c>
      <c r="M42">
        <v>40</v>
      </c>
      <c r="N42">
        <v>1</v>
      </c>
    </row>
    <row r="43" spans="1:14" x14ac:dyDescent="0.3">
      <c r="A43" t="s">
        <v>29</v>
      </c>
      <c r="B43">
        <v>3</v>
      </c>
      <c r="C43">
        <v>4</v>
      </c>
      <c r="D43">
        <v>37.25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 t="s">
        <v>3</v>
      </c>
      <c r="L43">
        <v>58</v>
      </c>
      <c r="M43">
        <v>40</v>
      </c>
      <c r="N43">
        <v>1</v>
      </c>
    </row>
    <row r="44" spans="1:14" x14ac:dyDescent="0.3">
      <c r="A44" t="s">
        <v>30</v>
      </c>
      <c r="B44">
        <v>3</v>
      </c>
      <c r="C44">
        <v>17</v>
      </c>
      <c r="D44">
        <v>56.25</v>
      </c>
      <c r="E44">
        <v>0</v>
      </c>
      <c r="F44">
        <v>0</v>
      </c>
      <c r="G44">
        <v>1</v>
      </c>
      <c r="H44">
        <v>1</v>
      </c>
      <c r="I44">
        <v>0</v>
      </c>
      <c r="J44">
        <v>0</v>
      </c>
      <c r="K44" t="s">
        <v>3</v>
      </c>
      <c r="L44">
        <v>9</v>
      </c>
      <c r="M44">
        <v>40</v>
      </c>
      <c r="N44">
        <v>1</v>
      </c>
    </row>
    <row r="45" spans="1:14" x14ac:dyDescent="0.3">
      <c r="A45" t="s">
        <v>32</v>
      </c>
      <c r="B45">
        <v>3</v>
      </c>
      <c r="C45">
        <v>10</v>
      </c>
      <c r="D45">
        <v>44.5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 t="s">
        <v>3</v>
      </c>
      <c r="L45">
        <v>5</v>
      </c>
      <c r="M45">
        <v>40</v>
      </c>
      <c r="N45">
        <v>1</v>
      </c>
    </row>
    <row r="46" spans="1:14" x14ac:dyDescent="0.3">
      <c r="A46" t="s">
        <v>176</v>
      </c>
      <c r="B46">
        <v>3</v>
      </c>
      <c r="C46">
        <v>5</v>
      </c>
      <c r="D46">
        <v>25</v>
      </c>
      <c r="E46">
        <v>1</v>
      </c>
      <c r="F46">
        <v>1</v>
      </c>
      <c r="G46">
        <v>0</v>
      </c>
      <c r="H46">
        <v>0</v>
      </c>
      <c r="I46">
        <v>0</v>
      </c>
      <c r="J46">
        <v>1</v>
      </c>
      <c r="K46" t="s">
        <v>3</v>
      </c>
      <c r="L46">
        <v>6</v>
      </c>
      <c r="M46">
        <v>40</v>
      </c>
      <c r="N46">
        <v>1</v>
      </c>
    </row>
    <row r="47" spans="1:14" x14ac:dyDescent="0.3">
      <c r="A47" t="s">
        <v>36</v>
      </c>
      <c r="B47">
        <v>2</v>
      </c>
      <c r="C47">
        <v>48</v>
      </c>
      <c r="D47">
        <v>25.75</v>
      </c>
      <c r="E47">
        <v>0</v>
      </c>
      <c r="F47">
        <v>1</v>
      </c>
      <c r="G47">
        <v>0</v>
      </c>
      <c r="H47">
        <v>1</v>
      </c>
      <c r="I47">
        <v>0</v>
      </c>
      <c r="J47">
        <v>0</v>
      </c>
      <c r="K47" t="s">
        <v>3</v>
      </c>
      <c r="L47">
        <v>1</v>
      </c>
      <c r="M47">
        <v>40</v>
      </c>
      <c r="N47">
        <v>1</v>
      </c>
    </row>
    <row r="48" spans="1:14" x14ac:dyDescent="0.3">
      <c r="A48" t="s">
        <v>41</v>
      </c>
      <c r="B48">
        <v>3</v>
      </c>
      <c r="C48">
        <v>2</v>
      </c>
      <c r="D48">
        <v>25.5</v>
      </c>
      <c r="E48">
        <v>0</v>
      </c>
      <c r="F48">
        <v>1</v>
      </c>
      <c r="G48">
        <v>1</v>
      </c>
      <c r="H48">
        <v>0</v>
      </c>
      <c r="I48">
        <v>0</v>
      </c>
      <c r="J48">
        <v>0</v>
      </c>
      <c r="K48" t="s">
        <v>3</v>
      </c>
      <c r="L48">
        <v>18</v>
      </c>
      <c r="M48">
        <v>40</v>
      </c>
      <c r="N48">
        <v>1</v>
      </c>
    </row>
    <row r="49" spans="1:14" x14ac:dyDescent="0.3">
      <c r="A49" t="s">
        <v>42</v>
      </c>
      <c r="B49">
        <v>3</v>
      </c>
      <c r="C49">
        <v>12</v>
      </c>
      <c r="D49">
        <v>29.25</v>
      </c>
      <c r="E49">
        <v>1</v>
      </c>
      <c r="F49">
        <v>1</v>
      </c>
      <c r="G49">
        <v>0</v>
      </c>
      <c r="H49">
        <v>0</v>
      </c>
      <c r="I49">
        <v>0</v>
      </c>
      <c r="J49">
        <v>1</v>
      </c>
      <c r="K49" t="s">
        <v>3</v>
      </c>
      <c r="L49">
        <v>24</v>
      </c>
      <c r="M49">
        <v>40</v>
      </c>
      <c r="N49">
        <v>1</v>
      </c>
    </row>
    <row r="50" spans="1:14" x14ac:dyDescent="0.3">
      <c r="A50" t="s">
        <v>46</v>
      </c>
      <c r="B50">
        <v>1</v>
      </c>
      <c r="C50">
        <v>1</v>
      </c>
      <c r="D50">
        <v>60.75</v>
      </c>
      <c r="E50">
        <v>0</v>
      </c>
      <c r="F50">
        <v>0</v>
      </c>
      <c r="G50">
        <v>1</v>
      </c>
      <c r="H50">
        <v>0</v>
      </c>
      <c r="I50">
        <v>0</v>
      </c>
      <c r="J50">
        <v>0</v>
      </c>
      <c r="K50" t="s">
        <v>3</v>
      </c>
      <c r="L50">
        <v>7</v>
      </c>
      <c r="M50">
        <v>40</v>
      </c>
      <c r="N50">
        <v>1</v>
      </c>
    </row>
    <row r="51" spans="1:14" x14ac:dyDescent="0.3">
      <c r="A51" t="s">
        <v>47</v>
      </c>
      <c r="B51">
        <v>1</v>
      </c>
      <c r="C51">
        <v>3</v>
      </c>
      <c r="D51">
        <v>73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 t="s">
        <v>3</v>
      </c>
      <c r="L51">
        <v>1</v>
      </c>
      <c r="M51">
        <v>40</v>
      </c>
      <c r="N51">
        <v>1</v>
      </c>
    </row>
    <row r="52" spans="1:14" x14ac:dyDescent="0.3">
      <c r="A52" t="s">
        <v>49</v>
      </c>
      <c r="B52">
        <v>3</v>
      </c>
      <c r="C52">
        <v>6</v>
      </c>
      <c r="D52">
        <v>26.75</v>
      </c>
      <c r="E52">
        <v>0</v>
      </c>
      <c r="F52">
        <v>0</v>
      </c>
      <c r="G52">
        <v>1</v>
      </c>
      <c r="H52">
        <v>0</v>
      </c>
      <c r="I52">
        <v>0</v>
      </c>
      <c r="J52">
        <v>0</v>
      </c>
      <c r="K52" t="s">
        <v>3</v>
      </c>
      <c r="L52">
        <v>1</v>
      </c>
      <c r="M52">
        <v>40</v>
      </c>
      <c r="N52">
        <v>1</v>
      </c>
    </row>
    <row r="53" spans="1:14" x14ac:dyDescent="0.3">
      <c r="A53" t="s">
        <v>54</v>
      </c>
      <c r="B53">
        <v>3</v>
      </c>
      <c r="C53">
        <v>7</v>
      </c>
      <c r="D53">
        <v>42.5</v>
      </c>
      <c r="E53">
        <v>0</v>
      </c>
      <c r="F53">
        <v>1</v>
      </c>
      <c r="G53">
        <v>1</v>
      </c>
      <c r="H53">
        <v>0</v>
      </c>
      <c r="I53">
        <v>0</v>
      </c>
      <c r="J53">
        <v>0</v>
      </c>
      <c r="K53" t="s">
        <v>3</v>
      </c>
      <c r="L53">
        <v>5</v>
      </c>
      <c r="M53">
        <v>40</v>
      </c>
      <c r="N53">
        <v>1</v>
      </c>
    </row>
    <row r="54" spans="1:14" x14ac:dyDescent="0.3">
      <c r="A54" t="s">
        <v>57</v>
      </c>
      <c r="B54">
        <v>1</v>
      </c>
      <c r="C54">
        <v>10</v>
      </c>
      <c r="D54">
        <v>40.75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 t="s">
        <v>3</v>
      </c>
      <c r="L54">
        <v>238</v>
      </c>
      <c r="M54">
        <v>40</v>
      </c>
      <c r="N54">
        <v>1</v>
      </c>
    </row>
    <row r="55" spans="1:14" x14ac:dyDescent="0.3">
      <c r="A55" t="s">
        <v>60</v>
      </c>
      <c r="B55">
        <v>3</v>
      </c>
      <c r="C55">
        <v>9</v>
      </c>
      <c r="D55">
        <v>37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 t="s">
        <v>3</v>
      </c>
      <c r="L55">
        <v>4</v>
      </c>
      <c r="M55">
        <v>40</v>
      </c>
      <c r="N55">
        <v>1</v>
      </c>
    </row>
    <row r="56" spans="1:14" x14ac:dyDescent="0.3">
      <c r="A56" t="s">
        <v>62</v>
      </c>
      <c r="B56">
        <v>3</v>
      </c>
      <c r="C56">
        <v>7</v>
      </c>
      <c r="D56">
        <v>38</v>
      </c>
      <c r="E56">
        <v>0</v>
      </c>
      <c r="F56">
        <v>1</v>
      </c>
      <c r="G56">
        <v>1</v>
      </c>
      <c r="H56">
        <v>0</v>
      </c>
      <c r="I56">
        <v>0</v>
      </c>
      <c r="J56">
        <v>0</v>
      </c>
      <c r="K56" t="s">
        <v>3</v>
      </c>
      <c r="L56">
        <v>2</v>
      </c>
      <c r="M56">
        <v>40</v>
      </c>
      <c r="N56">
        <v>1</v>
      </c>
    </row>
    <row r="57" spans="1:14" x14ac:dyDescent="0.3">
      <c r="A57" t="s">
        <v>65</v>
      </c>
      <c r="B57">
        <v>3</v>
      </c>
      <c r="C57">
        <v>7</v>
      </c>
      <c r="D57">
        <v>53.5</v>
      </c>
      <c r="E57">
        <v>0</v>
      </c>
      <c r="F57">
        <v>0</v>
      </c>
      <c r="G57">
        <v>1</v>
      </c>
      <c r="H57">
        <v>0</v>
      </c>
      <c r="I57">
        <v>0</v>
      </c>
      <c r="J57">
        <v>0</v>
      </c>
      <c r="K57" t="s">
        <v>3</v>
      </c>
      <c r="L57">
        <v>3</v>
      </c>
      <c r="M57">
        <v>40</v>
      </c>
      <c r="N57">
        <v>1</v>
      </c>
    </row>
    <row r="58" spans="1:14" x14ac:dyDescent="0.3">
      <c r="A58" t="s">
        <v>16</v>
      </c>
      <c r="B58">
        <v>1</v>
      </c>
      <c r="C58">
        <v>8</v>
      </c>
      <c r="D58">
        <v>64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 t="s">
        <v>4</v>
      </c>
      <c r="L58">
        <v>1</v>
      </c>
      <c r="M58">
        <v>10</v>
      </c>
      <c r="N58">
        <v>1</v>
      </c>
    </row>
    <row r="59" spans="1:14" x14ac:dyDescent="0.3">
      <c r="A59" t="s">
        <v>18</v>
      </c>
      <c r="B59">
        <v>3</v>
      </c>
      <c r="C59">
        <v>2</v>
      </c>
      <c r="D59">
        <v>30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 t="s">
        <v>4</v>
      </c>
      <c r="L59">
        <v>1</v>
      </c>
      <c r="M59">
        <v>10</v>
      </c>
      <c r="N59">
        <v>1</v>
      </c>
    </row>
    <row r="60" spans="1:14" x14ac:dyDescent="0.3">
      <c r="A60" t="s">
        <v>19</v>
      </c>
      <c r="B60">
        <v>2</v>
      </c>
      <c r="C60">
        <v>14</v>
      </c>
      <c r="D60">
        <v>28.25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 t="s">
        <v>4</v>
      </c>
      <c r="L60">
        <v>4</v>
      </c>
      <c r="M60">
        <v>10</v>
      </c>
      <c r="N60">
        <v>1</v>
      </c>
    </row>
    <row r="61" spans="1:14" x14ac:dyDescent="0.3">
      <c r="A61" t="s">
        <v>23</v>
      </c>
      <c r="B61">
        <v>2</v>
      </c>
      <c r="C61">
        <v>4</v>
      </c>
      <c r="D61">
        <v>24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 t="s">
        <v>4</v>
      </c>
      <c r="L61">
        <v>15</v>
      </c>
      <c r="M61">
        <v>10</v>
      </c>
      <c r="N61">
        <v>1</v>
      </c>
    </row>
    <row r="62" spans="1:14" x14ac:dyDescent="0.3">
      <c r="A62" t="s">
        <v>24</v>
      </c>
      <c r="B62">
        <v>1</v>
      </c>
      <c r="C62">
        <v>6</v>
      </c>
      <c r="D62">
        <v>26.5</v>
      </c>
      <c r="E62">
        <v>0</v>
      </c>
      <c r="F62">
        <v>1</v>
      </c>
      <c r="G62">
        <v>0</v>
      </c>
      <c r="H62">
        <v>0</v>
      </c>
      <c r="I62">
        <v>0</v>
      </c>
      <c r="J62">
        <v>0</v>
      </c>
      <c r="K62" t="s">
        <v>4</v>
      </c>
      <c r="L62">
        <v>6</v>
      </c>
      <c r="M62">
        <v>10</v>
      </c>
      <c r="N62">
        <v>1</v>
      </c>
    </row>
    <row r="63" spans="1:14" x14ac:dyDescent="0.3">
      <c r="A63" t="s">
        <v>25</v>
      </c>
      <c r="B63">
        <v>3</v>
      </c>
      <c r="C63">
        <v>15</v>
      </c>
      <c r="D63">
        <v>46.5</v>
      </c>
      <c r="E63">
        <v>0</v>
      </c>
      <c r="F63">
        <v>0</v>
      </c>
      <c r="G63">
        <v>1</v>
      </c>
      <c r="H63">
        <v>0</v>
      </c>
      <c r="I63">
        <v>0</v>
      </c>
      <c r="J63">
        <v>0</v>
      </c>
      <c r="K63" t="s">
        <v>4</v>
      </c>
      <c r="L63">
        <v>13</v>
      </c>
      <c r="M63">
        <v>10</v>
      </c>
      <c r="N63">
        <v>1</v>
      </c>
    </row>
    <row r="64" spans="1:14" x14ac:dyDescent="0.3">
      <c r="A64" t="s">
        <v>27</v>
      </c>
      <c r="B64">
        <v>3</v>
      </c>
      <c r="C64">
        <v>1</v>
      </c>
      <c r="D64">
        <v>59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 t="s">
        <v>4</v>
      </c>
      <c r="L64">
        <v>65</v>
      </c>
      <c r="M64">
        <v>10</v>
      </c>
      <c r="N64">
        <v>1</v>
      </c>
    </row>
    <row r="65" spans="1:14" x14ac:dyDescent="0.3">
      <c r="A65" t="s">
        <v>28</v>
      </c>
      <c r="B65">
        <v>1</v>
      </c>
      <c r="C65">
        <v>2</v>
      </c>
      <c r="D65">
        <v>58</v>
      </c>
      <c r="E65">
        <v>0</v>
      </c>
      <c r="F65">
        <v>0</v>
      </c>
      <c r="G65">
        <v>1</v>
      </c>
      <c r="H65">
        <v>1</v>
      </c>
      <c r="I65">
        <v>0</v>
      </c>
      <c r="J65">
        <v>0</v>
      </c>
      <c r="K65" t="s">
        <v>4</v>
      </c>
      <c r="L65">
        <v>5</v>
      </c>
      <c r="M65">
        <v>10</v>
      </c>
      <c r="N65">
        <v>1</v>
      </c>
    </row>
    <row r="66" spans="1:14" x14ac:dyDescent="0.3">
      <c r="A66" t="s">
        <v>30</v>
      </c>
      <c r="B66">
        <v>3</v>
      </c>
      <c r="C66">
        <v>17</v>
      </c>
      <c r="D66">
        <v>56.25</v>
      </c>
      <c r="E66">
        <v>0</v>
      </c>
      <c r="F66">
        <v>0</v>
      </c>
      <c r="G66">
        <v>1</v>
      </c>
      <c r="H66">
        <v>1</v>
      </c>
      <c r="I66">
        <v>0</v>
      </c>
      <c r="J66">
        <v>0</v>
      </c>
      <c r="K66" t="s">
        <v>4</v>
      </c>
      <c r="L66">
        <v>7</v>
      </c>
      <c r="M66">
        <v>10</v>
      </c>
      <c r="N66">
        <v>1</v>
      </c>
    </row>
    <row r="67" spans="1:14" x14ac:dyDescent="0.3">
      <c r="A67" t="s">
        <v>32</v>
      </c>
      <c r="B67">
        <v>3</v>
      </c>
      <c r="C67">
        <v>10</v>
      </c>
      <c r="D67">
        <v>44.5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 t="s">
        <v>4</v>
      </c>
      <c r="L67">
        <v>2</v>
      </c>
      <c r="M67">
        <v>10</v>
      </c>
      <c r="N67">
        <v>1</v>
      </c>
    </row>
    <row r="68" spans="1:14" x14ac:dyDescent="0.3">
      <c r="A68" t="s">
        <v>33</v>
      </c>
      <c r="B68">
        <v>3</v>
      </c>
      <c r="C68">
        <v>4</v>
      </c>
      <c r="D68">
        <v>41.5</v>
      </c>
      <c r="K68" t="s">
        <v>4</v>
      </c>
      <c r="L68">
        <v>1</v>
      </c>
      <c r="M68">
        <v>10</v>
      </c>
      <c r="N68">
        <v>1</v>
      </c>
    </row>
    <row r="69" spans="1:14" x14ac:dyDescent="0.3">
      <c r="A69" t="s">
        <v>36</v>
      </c>
      <c r="B69">
        <v>2</v>
      </c>
      <c r="C69">
        <v>48</v>
      </c>
      <c r="D69">
        <v>25.75</v>
      </c>
      <c r="E69">
        <v>0</v>
      </c>
      <c r="F69">
        <v>1</v>
      </c>
      <c r="G69">
        <v>0</v>
      </c>
      <c r="H69">
        <v>1</v>
      </c>
      <c r="I69">
        <v>0</v>
      </c>
      <c r="J69">
        <v>0</v>
      </c>
      <c r="K69" t="s">
        <v>4</v>
      </c>
      <c r="L69">
        <v>5</v>
      </c>
      <c r="M69">
        <v>10</v>
      </c>
      <c r="N69">
        <v>1</v>
      </c>
    </row>
    <row r="70" spans="1:14" x14ac:dyDescent="0.3">
      <c r="A70" t="s">
        <v>39</v>
      </c>
      <c r="B70">
        <v>3</v>
      </c>
      <c r="C70">
        <v>10</v>
      </c>
      <c r="D70">
        <v>25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 t="s">
        <v>4</v>
      </c>
      <c r="L70">
        <v>12</v>
      </c>
      <c r="M70">
        <v>10</v>
      </c>
      <c r="N70">
        <v>1</v>
      </c>
    </row>
    <row r="71" spans="1:14" x14ac:dyDescent="0.3">
      <c r="A71" t="s">
        <v>42</v>
      </c>
      <c r="B71">
        <v>3</v>
      </c>
      <c r="C71">
        <v>12</v>
      </c>
      <c r="D71">
        <v>29.25</v>
      </c>
      <c r="E71">
        <v>1</v>
      </c>
      <c r="F71">
        <v>1</v>
      </c>
      <c r="G71">
        <v>0</v>
      </c>
      <c r="H71">
        <v>0</v>
      </c>
      <c r="I71">
        <v>0</v>
      </c>
      <c r="J71">
        <v>1</v>
      </c>
      <c r="K71" t="s">
        <v>4</v>
      </c>
      <c r="L71">
        <v>6</v>
      </c>
      <c r="M71">
        <v>10</v>
      </c>
      <c r="N71">
        <v>1</v>
      </c>
    </row>
    <row r="72" spans="1:14" x14ac:dyDescent="0.3">
      <c r="A72" t="s">
        <v>47</v>
      </c>
      <c r="B72">
        <v>1</v>
      </c>
      <c r="C72">
        <v>3</v>
      </c>
      <c r="D72">
        <v>73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 t="s">
        <v>4</v>
      </c>
      <c r="L72">
        <v>51</v>
      </c>
      <c r="M72">
        <v>10</v>
      </c>
      <c r="N72">
        <v>1</v>
      </c>
    </row>
    <row r="73" spans="1:14" x14ac:dyDescent="0.3">
      <c r="A73" t="s">
        <v>51</v>
      </c>
      <c r="B73">
        <v>1</v>
      </c>
      <c r="C73">
        <v>1</v>
      </c>
      <c r="D73">
        <v>53</v>
      </c>
      <c r="E73">
        <v>1</v>
      </c>
      <c r="F73">
        <v>1</v>
      </c>
      <c r="G73">
        <v>0</v>
      </c>
      <c r="H73">
        <v>0</v>
      </c>
      <c r="I73">
        <v>0</v>
      </c>
      <c r="J73">
        <v>0</v>
      </c>
      <c r="K73" t="s">
        <v>4</v>
      </c>
      <c r="L73">
        <v>2</v>
      </c>
      <c r="M73">
        <v>10</v>
      </c>
      <c r="N73">
        <v>1</v>
      </c>
    </row>
    <row r="74" spans="1:14" x14ac:dyDescent="0.3">
      <c r="A74" t="s">
        <v>53</v>
      </c>
      <c r="B74">
        <v>2</v>
      </c>
      <c r="C74">
        <v>12</v>
      </c>
      <c r="D74">
        <v>45.75</v>
      </c>
      <c r="E74">
        <v>1</v>
      </c>
      <c r="F74">
        <v>1</v>
      </c>
      <c r="G74">
        <v>1</v>
      </c>
      <c r="H74">
        <v>0</v>
      </c>
      <c r="I74">
        <v>0</v>
      </c>
      <c r="J74">
        <v>0</v>
      </c>
      <c r="K74" t="s">
        <v>4</v>
      </c>
      <c r="L74">
        <v>3</v>
      </c>
      <c r="M74">
        <v>10</v>
      </c>
      <c r="N74">
        <v>1</v>
      </c>
    </row>
    <row r="75" spans="1:14" x14ac:dyDescent="0.3">
      <c r="A75" t="s">
        <v>54</v>
      </c>
      <c r="B75">
        <v>3</v>
      </c>
      <c r="C75">
        <v>7</v>
      </c>
      <c r="D75">
        <v>42.5</v>
      </c>
      <c r="E75">
        <v>0</v>
      </c>
      <c r="F75">
        <v>1</v>
      </c>
      <c r="G75">
        <v>1</v>
      </c>
      <c r="H75">
        <v>0</v>
      </c>
      <c r="I75">
        <v>0</v>
      </c>
      <c r="J75">
        <v>0</v>
      </c>
      <c r="K75" t="s">
        <v>4</v>
      </c>
      <c r="L75">
        <v>4</v>
      </c>
      <c r="M75">
        <v>10</v>
      </c>
      <c r="N75">
        <v>1</v>
      </c>
    </row>
    <row r="76" spans="1:14" x14ac:dyDescent="0.3">
      <c r="A76" t="s">
        <v>55</v>
      </c>
      <c r="B76">
        <v>2</v>
      </c>
      <c r="C76">
        <v>2</v>
      </c>
      <c r="D76">
        <v>44.5</v>
      </c>
      <c r="E76">
        <v>0</v>
      </c>
      <c r="F76">
        <v>0</v>
      </c>
      <c r="G76">
        <v>0</v>
      </c>
      <c r="H76">
        <v>0</v>
      </c>
      <c r="I76">
        <v>1</v>
      </c>
      <c r="J76">
        <v>0</v>
      </c>
      <c r="K76" t="s">
        <v>4</v>
      </c>
      <c r="L76">
        <v>4</v>
      </c>
      <c r="M76">
        <v>10</v>
      </c>
      <c r="N76">
        <v>1</v>
      </c>
    </row>
    <row r="77" spans="1:14" x14ac:dyDescent="0.3">
      <c r="A77" t="s">
        <v>56</v>
      </c>
      <c r="B77">
        <v>3</v>
      </c>
      <c r="C77">
        <v>1</v>
      </c>
      <c r="D77">
        <v>50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 t="s">
        <v>4</v>
      </c>
      <c r="L77">
        <v>2</v>
      </c>
      <c r="M77">
        <v>10</v>
      </c>
      <c r="N77">
        <v>1</v>
      </c>
    </row>
    <row r="78" spans="1:14" x14ac:dyDescent="0.3">
      <c r="A78" t="s">
        <v>57</v>
      </c>
      <c r="B78">
        <v>1</v>
      </c>
      <c r="C78">
        <v>10</v>
      </c>
      <c r="D78">
        <v>40.75</v>
      </c>
      <c r="E78">
        <v>0</v>
      </c>
      <c r="F78">
        <v>1</v>
      </c>
      <c r="G78">
        <v>0</v>
      </c>
      <c r="H78">
        <v>0</v>
      </c>
      <c r="I78">
        <v>0</v>
      </c>
      <c r="J78">
        <v>0</v>
      </c>
      <c r="K78" t="s">
        <v>4</v>
      </c>
      <c r="L78">
        <v>50</v>
      </c>
      <c r="M78">
        <v>10</v>
      </c>
      <c r="N78">
        <v>1</v>
      </c>
    </row>
    <row r="79" spans="1:14" x14ac:dyDescent="0.3">
      <c r="A79" t="s">
        <v>58</v>
      </c>
      <c r="B79">
        <v>1</v>
      </c>
      <c r="C79">
        <v>1</v>
      </c>
      <c r="D79">
        <v>55</v>
      </c>
      <c r="E79">
        <v>0</v>
      </c>
      <c r="F79">
        <v>1</v>
      </c>
      <c r="G79">
        <v>0</v>
      </c>
      <c r="H79">
        <v>0</v>
      </c>
      <c r="I79">
        <v>0</v>
      </c>
      <c r="J79">
        <v>0</v>
      </c>
      <c r="K79" t="s">
        <v>4</v>
      </c>
      <c r="L79">
        <v>36</v>
      </c>
      <c r="M79">
        <v>10</v>
      </c>
      <c r="N79">
        <v>1</v>
      </c>
    </row>
    <row r="80" spans="1:14" x14ac:dyDescent="0.3">
      <c r="A80" t="s">
        <v>59</v>
      </c>
      <c r="B80">
        <v>2</v>
      </c>
      <c r="C80">
        <v>4</v>
      </c>
      <c r="D80">
        <v>35.75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 t="s">
        <v>4</v>
      </c>
      <c r="L80">
        <v>1</v>
      </c>
      <c r="M80">
        <v>10</v>
      </c>
      <c r="N80">
        <v>1</v>
      </c>
    </row>
    <row r="81" spans="1:14" x14ac:dyDescent="0.3">
      <c r="A81" t="s">
        <v>64</v>
      </c>
      <c r="B81">
        <v>3</v>
      </c>
      <c r="C81">
        <v>3</v>
      </c>
      <c r="D81">
        <v>56.25</v>
      </c>
      <c r="E81">
        <v>0</v>
      </c>
      <c r="F81">
        <v>0</v>
      </c>
      <c r="G81">
        <v>1</v>
      </c>
      <c r="H81">
        <v>0</v>
      </c>
      <c r="I81">
        <v>0</v>
      </c>
      <c r="J81">
        <v>0</v>
      </c>
      <c r="K81" t="s">
        <v>4</v>
      </c>
      <c r="L81">
        <v>1</v>
      </c>
      <c r="M81">
        <v>10</v>
      </c>
      <c r="N81">
        <v>1</v>
      </c>
    </row>
    <row r="82" spans="1:14" x14ac:dyDescent="0.3">
      <c r="A82" t="s">
        <v>65</v>
      </c>
      <c r="B82">
        <v>3</v>
      </c>
      <c r="C82">
        <v>7</v>
      </c>
      <c r="D82">
        <v>53.5</v>
      </c>
      <c r="E82">
        <v>0</v>
      </c>
      <c r="F82">
        <v>0</v>
      </c>
      <c r="G82">
        <v>1</v>
      </c>
      <c r="H82">
        <v>0</v>
      </c>
      <c r="I82">
        <v>0</v>
      </c>
      <c r="J82">
        <v>0</v>
      </c>
      <c r="K82" t="s">
        <v>4</v>
      </c>
      <c r="L82">
        <v>1</v>
      </c>
      <c r="M82">
        <v>10</v>
      </c>
      <c r="N82">
        <v>1</v>
      </c>
    </row>
    <row r="83" spans="1:14" x14ac:dyDescent="0.3">
      <c r="A83" t="s">
        <v>15</v>
      </c>
      <c r="B83">
        <v>3</v>
      </c>
      <c r="C83">
        <v>1</v>
      </c>
      <c r="D83">
        <v>73.5</v>
      </c>
      <c r="E83">
        <v>0</v>
      </c>
      <c r="F83">
        <v>0</v>
      </c>
      <c r="G83">
        <v>0</v>
      </c>
      <c r="H83">
        <v>1</v>
      </c>
      <c r="I83">
        <v>0</v>
      </c>
      <c r="J83">
        <v>0</v>
      </c>
      <c r="K83" t="s">
        <v>103</v>
      </c>
      <c r="L83">
        <v>6</v>
      </c>
      <c r="M83">
        <v>530</v>
      </c>
      <c r="N83">
        <v>1</v>
      </c>
    </row>
    <row r="84" spans="1:14" x14ac:dyDescent="0.3">
      <c r="A84" t="s">
        <v>16</v>
      </c>
      <c r="B84">
        <v>1</v>
      </c>
      <c r="C84">
        <v>8</v>
      </c>
      <c r="D84">
        <v>64</v>
      </c>
      <c r="E84">
        <v>0</v>
      </c>
      <c r="F84">
        <v>1</v>
      </c>
      <c r="G84">
        <v>0</v>
      </c>
      <c r="H84">
        <v>0</v>
      </c>
      <c r="I84">
        <v>0</v>
      </c>
      <c r="J84">
        <v>0</v>
      </c>
      <c r="K84" t="s">
        <v>103</v>
      </c>
      <c r="L84">
        <v>2</v>
      </c>
      <c r="M84">
        <v>530</v>
      </c>
      <c r="N84">
        <v>1</v>
      </c>
    </row>
    <row r="85" spans="1:14" x14ac:dyDescent="0.3">
      <c r="A85" t="s">
        <v>19</v>
      </c>
      <c r="B85">
        <v>2</v>
      </c>
      <c r="C85">
        <v>14</v>
      </c>
      <c r="D85">
        <v>28.25</v>
      </c>
      <c r="E85">
        <v>0</v>
      </c>
      <c r="F85">
        <v>0</v>
      </c>
      <c r="G85">
        <v>1</v>
      </c>
      <c r="H85">
        <v>0</v>
      </c>
      <c r="I85">
        <v>0</v>
      </c>
      <c r="J85">
        <v>0</v>
      </c>
      <c r="K85" t="s">
        <v>103</v>
      </c>
      <c r="L85">
        <v>22</v>
      </c>
      <c r="M85">
        <v>530</v>
      </c>
      <c r="N85">
        <v>1</v>
      </c>
    </row>
    <row r="86" spans="1:14" x14ac:dyDescent="0.3">
      <c r="A86" t="s">
        <v>23</v>
      </c>
      <c r="B86">
        <v>2</v>
      </c>
      <c r="C86">
        <v>4</v>
      </c>
      <c r="D86">
        <v>24</v>
      </c>
      <c r="E86">
        <v>0</v>
      </c>
      <c r="F86">
        <v>1</v>
      </c>
      <c r="G86">
        <v>0</v>
      </c>
      <c r="H86">
        <v>0</v>
      </c>
      <c r="I86">
        <v>0</v>
      </c>
      <c r="J86">
        <v>0</v>
      </c>
      <c r="K86" t="s">
        <v>103</v>
      </c>
      <c r="L86">
        <v>13</v>
      </c>
      <c r="M86">
        <v>530</v>
      </c>
      <c r="N86">
        <v>1</v>
      </c>
    </row>
    <row r="87" spans="1:14" x14ac:dyDescent="0.3">
      <c r="A87" t="s">
        <v>24</v>
      </c>
      <c r="B87">
        <v>1</v>
      </c>
      <c r="C87">
        <v>6</v>
      </c>
      <c r="D87">
        <v>26.5</v>
      </c>
      <c r="E87">
        <v>0</v>
      </c>
      <c r="F87">
        <v>1</v>
      </c>
      <c r="G87">
        <v>0</v>
      </c>
      <c r="H87">
        <v>0</v>
      </c>
      <c r="I87">
        <v>0</v>
      </c>
      <c r="J87">
        <v>0</v>
      </c>
      <c r="K87" t="s">
        <v>103</v>
      </c>
      <c r="L87">
        <v>5</v>
      </c>
      <c r="M87">
        <v>530</v>
      </c>
      <c r="N87">
        <v>1</v>
      </c>
    </row>
    <row r="88" spans="1:14" x14ac:dyDescent="0.3">
      <c r="A88" t="s">
        <v>25</v>
      </c>
      <c r="B88">
        <v>3</v>
      </c>
      <c r="C88">
        <v>15</v>
      </c>
      <c r="D88">
        <v>46.5</v>
      </c>
      <c r="E88">
        <v>0</v>
      </c>
      <c r="F88">
        <v>0</v>
      </c>
      <c r="G88">
        <v>1</v>
      </c>
      <c r="H88">
        <v>0</v>
      </c>
      <c r="I88">
        <v>0</v>
      </c>
      <c r="J88">
        <v>0</v>
      </c>
      <c r="K88" t="s">
        <v>103</v>
      </c>
      <c r="L88">
        <v>9</v>
      </c>
      <c r="M88">
        <v>530</v>
      </c>
      <c r="N88">
        <v>1</v>
      </c>
    </row>
    <row r="89" spans="1:14" x14ac:dyDescent="0.3">
      <c r="A89" t="s">
        <v>27</v>
      </c>
      <c r="B89">
        <v>3</v>
      </c>
      <c r="C89">
        <v>1</v>
      </c>
      <c r="D89">
        <v>59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 t="s">
        <v>103</v>
      </c>
      <c r="L89">
        <v>25</v>
      </c>
      <c r="M89">
        <v>530</v>
      </c>
      <c r="N89">
        <v>1</v>
      </c>
    </row>
    <row r="90" spans="1:14" x14ac:dyDescent="0.3">
      <c r="A90" t="s">
        <v>28</v>
      </c>
      <c r="B90">
        <v>1</v>
      </c>
      <c r="C90">
        <v>2</v>
      </c>
      <c r="D90">
        <v>58</v>
      </c>
      <c r="E90">
        <v>0</v>
      </c>
      <c r="F90">
        <v>0</v>
      </c>
      <c r="G90">
        <v>1</v>
      </c>
      <c r="H90">
        <v>1</v>
      </c>
      <c r="I90">
        <v>0</v>
      </c>
      <c r="J90">
        <v>0</v>
      </c>
      <c r="K90" t="s">
        <v>103</v>
      </c>
      <c r="L90">
        <v>1</v>
      </c>
      <c r="M90">
        <v>530</v>
      </c>
      <c r="N90">
        <v>1</v>
      </c>
    </row>
    <row r="91" spans="1:14" x14ac:dyDescent="0.3">
      <c r="A91" t="s">
        <v>30</v>
      </c>
      <c r="B91">
        <v>3</v>
      </c>
      <c r="C91">
        <v>17</v>
      </c>
      <c r="D91">
        <v>56.25</v>
      </c>
      <c r="E91">
        <v>0</v>
      </c>
      <c r="F91">
        <v>0</v>
      </c>
      <c r="G91">
        <v>1</v>
      </c>
      <c r="H91">
        <v>1</v>
      </c>
      <c r="I91">
        <v>0</v>
      </c>
      <c r="J91">
        <v>0</v>
      </c>
      <c r="K91" t="s">
        <v>103</v>
      </c>
      <c r="L91">
        <v>22</v>
      </c>
      <c r="M91">
        <v>530</v>
      </c>
      <c r="N91">
        <v>1</v>
      </c>
    </row>
    <row r="92" spans="1:14" x14ac:dyDescent="0.3">
      <c r="A92" t="s">
        <v>32</v>
      </c>
      <c r="B92">
        <v>3</v>
      </c>
      <c r="C92">
        <v>10</v>
      </c>
      <c r="D92">
        <v>44.5</v>
      </c>
      <c r="E92">
        <v>0</v>
      </c>
      <c r="F92">
        <v>0</v>
      </c>
      <c r="G92">
        <v>1</v>
      </c>
      <c r="H92">
        <v>0</v>
      </c>
      <c r="I92">
        <v>0</v>
      </c>
      <c r="J92">
        <v>0</v>
      </c>
      <c r="K92" t="s">
        <v>103</v>
      </c>
      <c r="L92">
        <v>2</v>
      </c>
      <c r="M92">
        <v>530</v>
      </c>
      <c r="N92">
        <v>1</v>
      </c>
    </row>
    <row r="93" spans="1:14" x14ac:dyDescent="0.3">
      <c r="A93" t="s">
        <v>36</v>
      </c>
      <c r="B93">
        <v>2</v>
      </c>
      <c r="C93">
        <v>48</v>
      </c>
      <c r="D93">
        <v>25.75</v>
      </c>
      <c r="E93">
        <v>0</v>
      </c>
      <c r="F93">
        <v>1</v>
      </c>
      <c r="G93">
        <v>0</v>
      </c>
      <c r="H93">
        <v>1</v>
      </c>
      <c r="I93">
        <v>0</v>
      </c>
      <c r="J93">
        <v>0</v>
      </c>
      <c r="K93" t="s">
        <v>103</v>
      </c>
      <c r="L93">
        <v>12</v>
      </c>
      <c r="M93">
        <v>530</v>
      </c>
      <c r="N93">
        <v>1</v>
      </c>
    </row>
    <row r="94" spans="1:14" x14ac:dyDescent="0.3">
      <c r="A94" t="s">
        <v>38</v>
      </c>
      <c r="B94">
        <v>3</v>
      </c>
      <c r="C94">
        <v>7</v>
      </c>
      <c r="D94">
        <v>33</v>
      </c>
      <c r="E94">
        <v>0</v>
      </c>
      <c r="F94">
        <v>1</v>
      </c>
      <c r="G94">
        <v>0</v>
      </c>
      <c r="H94">
        <v>0</v>
      </c>
      <c r="I94">
        <v>0</v>
      </c>
      <c r="J94">
        <v>0</v>
      </c>
      <c r="K94" t="s">
        <v>103</v>
      </c>
      <c r="L94">
        <v>3</v>
      </c>
      <c r="M94">
        <v>530</v>
      </c>
      <c r="N94">
        <v>1</v>
      </c>
    </row>
    <row r="95" spans="1:14" x14ac:dyDescent="0.3">
      <c r="A95" t="s">
        <v>40</v>
      </c>
      <c r="B95">
        <v>1</v>
      </c>
      <c r="C95">
        <v>2</v>
      </c>
      <c r="D95">
        <v>29</v>
      </c>
      <c r="K95" t="s">
        <v>103</v>
      </c>
      <c r="L95">
        <v>1</v>
      </c>
      <c r="M95">
        <v>530</v>
      </c>
      <c r="N95">
        <v>1</v>
      </c>
    </row>
    <row r="96" spans="1:14" x14ac:dyDescent="0.3">
      <c r="A96" t="s">
        <v>41</v>
      </c>
      <c r="B96">
        <v>3</v>
      </c>
      <c r="C96">
        <v>2</v>
      </c>
      <c r="D96">
        <v>25.5</v>
      </c>
      <c r="E96">
        <v>0</v>
      </c>
      <c r="F96">
        <v>1</v>
      </c>
      <c r="G96">
        <v>1</v>
      </c>
      <c r="H96">
        <v>0</v>
      </c>
      <c r="I96">
        <v>0</v>
      </c>
      <c r="J96">
        <v>0</v>
      </c>
      <c r="K96" t="s">
        <v>103</v>
      </c>
      <c r="L96">
        <v>2</v>
      </c>
      <c r="M96">
        <v>530</v>
      </c>
      <c r="N96">
        <v>1</v>
      </c>
    </row>
    <row r="97" spans="1:14" x14ac:dyDescent="0.3">
      <c r="A97" t="s">
        <v>42</v>
      </c>
      <c r="B97">
        <v>3</v>
      </c>
      <c r="C97">
        <v>12</v>
      </c>
      <c r="D97">
        <v>29.25</v>
      </c>
      <c r="E97">
        <v>1</v>
      </c>
      <c r="F97">
        <v>1</v>
      </c>
      <c r="G97">
        <v>0</v>
      </c>
      <c r="H97">
        <v>0</v>
      </c>
      <c r="I97">
        <v>0</v>
      </c>
      <c r="J97">
        <v>1</v>
      </c>
      <c r="K97" t="s">
        <v>103</v>
      </c>
      <c r="L97">
        <v>12</v>
      </c>
      <c r="M97">
        <v>530</v>
      </c>
      <c r="N97">
        <v>1</v>
      </c>
    </row>
    <row r="98" spans="1:14" x14ac:dyDescent="0.3">
      <c r="A98" t="s">
        <v>43</v>
      </c>
      <c r="B98">
        <v>1</v>
      </c>
      <c r="C98">
        <v>1</v>
      </c>
      <c r="D98">
        <v>30</v>
      </c>
      <c r="E98">
        <v>0</v>
      </c>
      <c r="F98">
        <v>1</v>
      </c>
      <c r="G98">
        <v>0</v>
      </c>
      <c r="H98">
        <v>1</v>
      </c>
      <c r="I98">
        <v>1</v>
      </c>
      <c r="J98">
        <v>0</v>
      </c>
      <c r="K98" t="s">
        <v>103</v>
      </c>
      <c r="L98">
        <v>7</v>
      </c>
      <c r="M98">
        <v>530</v>
      </c>
      <c r="N98">
        <v>1</v>
      </c>
    </row>
    <row r="99" spans="1:14" x14ac:dyDescent="0.3">
      <c r="A99" t="s">
        <v>46</v>
      </c>
      <c r="B99">
        <v>1</v>
      </c>
      <c r="C99">
        <v>1</v>
      </c>
      <c r="D99">
        <v>60.75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 t="s">
        <v>103</v>
      </c>
      <c r="L99">
        <v>1</v>
      </c>
      <c r="M99">
        <v>530</v>
      </c>
      <c r="N99">
        <v>1</v>
      </c>
    </row>
    <row r="100" spans="1:14" x14ac:dyDescent="0.3">
      <c r="A100" t="s">
        <v>47</v>
      </c>
      <c r="B100">
        <v>1</v>
      </c>
      <c r="C100">
        <v>3</v>
      </c>
      <c r="D100">
        <v>73</v>
      </c>
      <c r="E100">
        <v>1</v>
      </c>
      <c r="F100">
        <v>0</v>
      </c>
      <c r="G100">
        <v>0</v>
      </c>
      <c r="H100">
        <v>0</v>
      </c>
      <c r="I100">
        <v>0</v>
      </c>
      <c r="J100">
        <v>0</v>
      </c>
      <c r="K100" t="s">
        <v>103</v>
      </c>
      <c r="L100">
        <v>16</v>
      </c>
      <c r="M100">
        <v>530</v>
      </c>
      <c r="N100">
        <v>1</v>
      </c>
    </row>
    <row r="101" spans="1:14" x14ac:dyDescent="0.3">
      <c r="A101" t="s">
        <v>50</v>
      </c>
      <c r="B101">
        <v>1</v>
      </c>
      <c r="C101">
        <v>2</v>
      </c>
      <c r="D101">
        <v>64.5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 t="s">
        <v>103</v>
      </c>
      <c r="L101">
        <v>11</v>
      </c>
      <c r="M101">
        <v>530</v>
      </c>
      <c r="N101">
        <v>1</v>
      </c>
    </row>
    <row r="102" spans="1:14" x14ac:dyDescent="0.3">
      <c r="A102" t="s">
        <v>51</v>
      </c>
      <c r="B102">
        <v>1</v>
      </c>
      <c r="C102">
        <v>1</v>
      </c>
      <c r="D102">
        <v>53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 t="s">
        <v>103</v>
      </c>
      <c r="L102">
        <v>34</v>
      </c>
      <c r="M102">
        <v>530</v>
      </c>
      <c r="N102">
        <v>1</v>
      </c>
    </row>
    <row r="103" spans="1:14" x14ac:dyDescent="0.3">
      <c r="A103" t="s">
        <v>52</v>
      </c>
      <c r="B103">
        <v>1</v>
      </c>
      <c r="C103">
        <v>1</v>
      </c>
      <c r="D103">
        <v>60</v>
      </c>
      <c r="E103">
        <v>0</v>
      </c>
      <c r="F103">
        <v>0</v>
      </c>
      <c r="G103">
        <v>1</v>
      </c>
      <c r="H103">
        <v>0</v>
      </c>
      <c r="I103">
        <v>0</v>
      </c>
      <c r="J103">
        <v>0</v>
      </c>
      <c r="K103" t="s">
        <v>103</v>
      </c>
      <c r="L103">
        <v>40</v>
      </c>
      <c r="M103">
        <v>530</v>
      </c>
      <c r="N103">
        <v>1</v>
      </c>
    </row>
    <row r="104" spans="1:14" x14ac:dyDescent="0.3">
      <c r="A104" t="s">
        <v>54</v>
      </c>
      <c r="B104">
        <v>3</v>
      </c>
      <c r="C104">
        <v>7</v>
      </c>
      <c r="D104">
        <v>42.5</v>
      </c>
      <c r="E104">
        <v>0</v>
      </c>
      <c r="F104">
        <v>1</v>
      </c>
      <c r="G104">
        <v>1</v>
      </c>
      <c r="H104">
        <v>0</v>
      </c>
      <c r="I104">
        <v>0</v>
      </c>
      <c r="J104">
        <v>0</v>
      </c>
      <c r="K104" t="s">
        <v>103</v>
      </c>
      <c r="L104">
        <v>2</v>
      </c>
      <c r="M104">
        <v>530</v>
      </c>
      <c r="N104">
        <v>1</v>
      </c>
    </row>
    <row r="105" spans="1:14" x14ac:dyDescent="0.3">
      <c r="A105" t="s">
        <v>55</v>
      </c>
      <c r="B105">
        <v>2</v>
      </c>
      <c r="C105">
        <v>2</v>
      </c>
      <c r="D105">
        <v>44.5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0</v>
      </c>
      <c r="K105" t="s">
        <v>103</v>
      </c>
      <c r="L105">
        <v>6</v>
      </c>
      <c r="M105">
        <v>530</v>
      </c>
      <c r="N105">
        <v>1</v>
      </c>
    </row>
    <row r="106" spans="1:14" x14ac:dyDescent="0.3">
      <c r="A106" t="s">
        <v>56</v>
      </c>
      <c r="B106">
        <v>3</v>
      </c>
      <c r="C106">
        <v>1</v>
      </c>
      <c r="D106">
        <v>50</v>
      </c>
      <c r="E106">
        <v>0</v>
      </c>
      <c r="F106">
        <v>0</v>
      </c>
      <c r="G106">
        <v>0</v>
      </c>
      <c r="H106">
        <v>1</v>
      </c>
      <c r="I106">
        <v>0</v>
      </c>
      <c r="J106">
        <v>0</v>
      </c>
      <c r="K106" t="s">
        <v>103</v>
      </c>
      <c r="L106">
        <v>2</v>
      </c>
      <c r="M106">
        <v>530</v>
      </c>
      <c r="N106">
        <v>1</v>
      </c>
    </row>
    <row r="107" spans="1:14" x14ac:dyDescent="0.3">
      <c r="A107" t="s">
        <v>57</v>
      </c>
      <c r="B107">
        <v>1</v>
      </c>
      <c r="C107">
        <v>10</v>
      </c>
      <c r="D107">
        <v>40.75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 t="s">
        <v>103</v>
      </c>
      <c r="L107">
        <v>35</v>
      </c>
      <c r="M107">
        <v>530</v>
      </c>
      <c r="N107">
        <v>1</v>
      </c>
    </row>
    <row r="108" spans="1:14" x14ac:dyDescent="0.3">
      <c r="A108" t="s">
        <v>58</v>
      </c>
      <c r="B108">
        <v>1</v>
      </c>
      <c r="C108">
        <v>1</v>
      </c>
      <c r="D108">
        <v>55</v>
      </c>
      <c r="E108">
        <v>0</v>
      </c>
      <c r="F108">
        <v>1</v>
      </c>
      <c r="G108">
        <v>0</v>
      </c>
      <c r="H108">
        <v>0</v>
      </c>
      <c r="I108">
        <v>0</v>
      </c>
      <c r="J108">
        <v>0</v>
      </c>
      <c r="K108" t="s">
        <v>103</v>
      </c>
      <c r="L108">
        <v>267</v>
      </c>
      <c r="M108">
        <v>530</v>
      </c>
      <c r="N108">
        <v>1</v>
      </c>
    </row>
    <row r="109" spans="1:14" x14ac:dyDescent="0.3">
      <c r="A109" t="s">
        <v>60</v>
      </c>
      <c r="B109">
        <v>3</v>
      </c>
      <c r="C109">
        <v>9</v>
      </c>
      <c r="D109">
        <v>37</v>
      </c>
      <c r="E109">
        <v>0</v>
      </c>
      <c r="F109">
        <v>1</v>
      </c>
      <c r="G109">
        <v>0</v>
      </c>
      <c r="H109">
        <v>0</v>
      </c>
      <c r="I109">
        <v>0</v>
      </c>
      <c r="J109">
        <v>0</v>
      </c>
      <c r="K109" t="s">
        <v>103</v>
      </c>
      <c r="L109">
        <v>6</v>
      </c>
      <c r="M109">
        <v>530</v>
      </c>
      <c r="N109">
        <v>1</v>
      </c>
    </row>
    <row r="110" spans="1:14" x14ac:dyDescent="0.3">
      <c r="A110" t="s">
        <v>61</v>
      </c>
      <c r="B110">
        <v>1</v>
      </c>
      <c r="C110">
        <v>9</v>
      </c>
      <c r="D110">
        <v>62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 t="s">
        <v>103</v>
      </c>
      <c r="L110">
        <v>2</v>
      </c>
      <c r="M110">
        <v>530</v>
      </c>
      <c r="N110">
        <v>1</v>
      </c>
    </row>
    <row r="111" spans="1:14" x14ac:dyDescent="0.3">
      <c r="A111" t="s">
        <v>65</v>
      </c>
      <c r="B111">
        <v>3</v>
      </c>
      <c r="C111">
        <v>7</v>
      </c>
      <c r="D111">
        <v>53.5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 t="s">
        <v>103</v>
      </c>
      <c r="L111">
        <v>5</v>
      </c>
      <c r="M111">
        <v>530</v>
      </c>
      <c r="N111">
        <v>1</v>
      </c>
    </row>
    <row r="112" spans="1:14" x14ac:dyDescent="0.3">
      <c r="A112" t="s">
        <v>19</v>
      </c>
      <c r="B112">
        <v>2</v>
      </c>
      <c r="C112">
        <v>14</v>
      </c>
      <c r="D112">
        <v>28.25</v>
      </c>
      <c r="E112">
        <v>0</v>
      </c>
      <c r="F112">
        <v>0</v>
      </c>
      <c r="G112">
        <v>1</v>
      </c>
      <c r="H112">
        <v>0</v>
      </c>
      <c r="I112">
        <v>0</v>
      </c>
      <c r="J112">
        <v>0</v>
      </c>
      <c r="K112" t="s">
        <v>104</v>
      </c>
      <c r="L112">
        <v>33</v>
      </c>
      <c r="M112">
        <v>75</v>
      </c>
      <c r="N112">
        <v>1</v>
      </c>
    </row>
    <row r="113" spans="1:14" x14ac:dyDescent="0.3">
      <c r="A113" t="s">
        <v>23</v>
      </c>
      <c r="B113">
        <v>2</v>
      </c>
      <c r="C113">
        <v>4</v>
      </c>
      <c r="D113">
        <v>24</v>
      </c>
      <c r="E113">
        <v>0</v>
      </c>
      <c r="F113">
        <v>1</v>
      </c>
      <c r="G113">
        <v>0</v>
      </c>
      <c r="H113">
        <v>0</v>
      </c>
      <c r="I113">
        <v>0</v>
      </c>
      <c r="J113">
        <v>0</v>
      </c>
      <c r="K113" t="s">
        <v>104</v>
      </c>
      <c r="L113">
        <v>10</v>
      </c>
      <c r="M113">
        <v>75</v>
      </c>
      <c r="N113">
        <v>1</v>
      </c>
    </row>
    <row r="114" spans="1:14" x14ac:dyDescent="0.3">
      <c r="A114" t="s">
        <v>24</v>
      </c>
      <c r="B114">
        <v>1</v>
      </c>
      <c r="C114">
        <v>6</v>
      </c>
      <c r="D114">
        <v>26.5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 t="s">
        <v>104</v>
      </c>
      <c r="L114">
        <v>16</v>
      </c>
      <c r="M114">
        <v>75</v>
      </c>
      <c r="N114">
        <v>1</v>
      </c>
    </row>
    <row r="115" spans="1:14" x14ac:dyDescent="0.3">
      <c r="A115" t="s">
        <v>25</v>
      </c>
      <c r="B115">
        <v>3</v>
      </c>
      <c r="C115">
        <v>15</v>
      </c>
      <c r="D115">
        <v>46.5</v>
      </c>
      <c r="E115">
        <v>0</v>
      </c>
      <c r="F115">
        <v>0</v>
      </c>
      <c r="G115">
        <v>1</v>
      </c>
      <c r="H115">
        <v>0</v>
      </c>
      <c r="I115">
        <v>0</v>
      </c>
      <c r="J115">
        <v>0</v>
      </c>
      <c r="K115" t="s">
        <v>104</v>
      </c>
      <c r="L115">
        <v>3</v>
      </c>
      <c r="M115">
        <v>75</v>
      </c>
      <c r="N115">
        <v>1</v>
      </c>
    </row>
    <row r="116" spans="1:14" x14ac:dyDescent="0.3">
      <c r="A116" t="s">
        <v>27</v>
      </c>
      <c r="B116">
        <v>3</v>
      </c>
      <c r="C116">
        <v>1</v>
      </c>
      <c r="D116">
        <v>59</v>
      </c>
      <c r="E116">
        <v>0</v>
      </c>
      <c r="F116">
        <v>0</v>
      </c>
      <c r="G116">
        <v>0</v>
      </c>
      <c r="H116">
        <v>1</v>
      </c>
      <c r="I116">
        <v>0</v>
      </c>
      <c r="J116">
        <v>0</v>
      </c>
      <c r="K116" t="s">
        <v>104</v>
      </c>
      <c r="L116">
        <v>37</v>
      </c>
      <c r="M116">
        <v>75</v>
      </c>
      <c r="N116">
        <v>1</v>
      </c>
    </row>
    <row r="117" spans="1:14" x14ac:dyDescent="0.3">
      <c r="A117" t="s">
        <v>29</v>
      </c>
      <c r="B117">
        <v>3</v>
      </c>
      <c r="C117">
        <v>4</v>
      </c>
      <c r="D117">
        <v>37.25</v>
      </c>
      <c r="E117">
        <v>0</v>
      </c>
      <c r="F117">
        <v>0</v>
      </c>
      <c r="G117">
        <v>1</v>
      </c>
      <c r="H117">
        <v>0</v>
      </c>
      <c r="I117">
        <v>0</v>
      </c>
      <c r="J117">
        <v>0</v>
      </c>
      <c r="K117" t="s">
        <v>104</v>
      </c>
      <c r="L117">
        <v>3</v>
      </c>
      <c r="M117">
        <v>75</v>
      </c>
      <c r="N117">
        <v>1</v>
      </c>
    </row>
    <row r="118" spans="1:14" x14ac:dyDescent="0.3">
      <c r="A118" t="s">
        <v>36</v>
      </c>
      <c r="B118">
        <v>2</v>
      </c>
      <c r="C118">
        <v>48</v>
      </c>
      <c r="D118">
        <v>25.75</v>
      </c>
      <c r="E118">
        <v>0</v>
      </c>
      <c r="F118">
        <v>1</v>
      </c>
      <c r="G118">
        <v>0</v>
      </c>
      <c r="H118">
        <v>1</v>
      </c>
      <c r="I118">
        <v>0</v>
      </c>
      <c r="J118">
        <v>0</v>
      </c>
      <c r="K118" t="s">
        <v>104</v>
      </c>
      <c r="L118">
        <v>3</v>
      </c>
      <c r="M118">
        <v>75</v>
      </c>
      <c r="N118">
        <v>1</v>
      </c>
    </row>
    <row r="119" spans="1:14" x14ac:dyDescent="0.3">
      <c r="A119" t="s">
        <v>42</v>
      </c>
      <c r="B119">
        <v>3</v>
      </c>
      <c r="C119">
        <v>12</v>
      </c>
      <c r="D119">
        <v>29.25</v>
      </c>
      <c r="E119">
        <v>1</v>
      </c>
      <c r="F119">
        <v>1</v>
      </c>
      <c r="G119">
        <v>0</v>
      </c>
      <c r="H119">
        <v>0</v>
      </c>
      <c r="I119">
        <v>0</v>
      </c>
      <c r="J119">
        <v>1</v>
      </c>
      <c r="K119" t="s">
        <v>104</v>
      </c>
      <c r="L119">
        <v>5</v>
      </c>
      <c r="M119">
        <v>75</v>
      </c>
      <c r="N119">
        <v>1</v>
      </c>
    </row>
    <row r="120" spans="1:14" x14ac:dyDescent="0.3">
      <c r="A120" t="s">
        <v>46</v>
      </c>
      <c r="B120">
        <v>1</v>
      </c>
      <c r="C120">
        <v>1</v>
      </c>
      <c r="D120">
        <v>60.75</v>
      </c>
      <c r="E120">
        <v>0</v>
      </c>
      <c r="F120">
        <v>0</v>
      </c>
      <c r="G120">
        <v>1</v>
      </c>
      <c r="H120">
        <v>0</v>
      </c>
      <c r="I120">
        <v>0</v>
      </c>
      <c r="J120">
        <v>0</v>
      </c>
      <c r="K120" t="s">
        <v>104</v>
      </c>
      <c r="L120">
        <v>5</v>
      </c>
      <c r="M120">
        <v>75</v>
      </c>
      <c r="N120">
        <v>1</v>
      </c>
    </row>
    <row r="121" spans="1:14" x14ac:dyDescent="0.3">
      <c r="A121" t="s">
        <v>47</v>
      </c>
      <c r="B121">
        <v>1</v>
      </c>
      <c r="C121">
        <v>3</v>
      </c>
      <c r="D121">
        <v>73</v>
      </c>
      <c r="E121">
        <v>1</v>
      </c>
      <c r="F121">
        <v>0</v>
      </c>
      <c r="G121">
        <v>0</v>
      </c>
      <c r="H121">
        <v>0</v>
      </c>
      <c r="I121">
        <v>0</v>
      </c>
      <c r="J121">
        <v>0</v>
      </c>
      <c r="K121" t="s">
        <v>104</v>
      </c>
      <c r="L121">
        <v>25</v>
      </c>
      <c r="M121">
        <v>75</v>
      </c>
      <c r="N121">
        <v>1</v>
      </c>
    </row>
    <row r="122" spans="1:14" x14ac:dyDescent="0.3">
      <c r="A122" t="s">
        <v>48</v>
      </c>
      <c r="B122">
        <v>2</v>
      </c>
      <c r="C122">
        <v>6</v>
      </c>
      <c r="D122">
        <v>79.5</v>
      </c>
      <c r="E122">
        <v>0</v>
      </c>
      <c r="F122">
        <v>0</v>
      </c>
      <c r="G122">
        <v>0</v>
      </c>
      <c r="H122">
        <v>1</v>
      </c>
      <c r="I122">
        <v>1</v>
      </c>
      <c r="J122">
        <v>0</v>
      </c>
      <c r="K122" t="s">
        <v>104</v>
      </c>
      <c r="L122">
        <v>4</v>
      </c>
      <c r="M122">
        <v>75</v>
      </c>
      <c r="N122">
        <v>1</v>
      </c>
    </row>
    <row r="123" spans="1:14" x14ac:dyDescent="0.3">
      <c r="A123" t="s">
        <v>55</v>
      </c>
      <c r="B123">
        <v>2</v>
      </c>
      <c r="C123">
        <v>2</v>
      </c>
      <c r="D123">
        <v>44.5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 t="s">
        <v>104</v>
      </c>
      <c r="L123">
        <v>2</v>
      </c>
      <c r="M123">
        <v>75</v>
      </c>
      <c r="N123">
        <v>1</v>
      </c>
    </row>
    <row r="124" spans="1:14" x14ac:dyDescent="0.3">
      <c r="A124" t="s">
        <v>57</v>
      </c>
      <c r="B124">
        <v>1</v>
      </c>
      <c r="C124">
        <v>10</v>
      </c>
      <c r="D124">
        <v>40.75</v>
      </c>
      <c r="E124">
        <v>0</v>
      </c>
      <c r="F124">
        <v>1</v>
      </c>
      <c r="G124">
        <v>0</v>
      </c>
      <c r="H124">
        <v>0</v>
      </c>
      <c r="I124">
        <v>0</v>
      </c>
      <c r="J124">
        <v>0</v>
      </c>
      <c r="K124" t="s">
        <v>104</v>
      </c>
      <c r="L124">
        <v>93</v>
      </c>
      <c r="M124">
        <v>75</v>
      </c>
      <c r="N124">
        <v>1</v>
      </c>
    </row>
    <row r="125" spans="1:14" x14ac:dyDescent="0.3">
      <c r="A125" t="s">
        <v>60</v>
      </c>
      <c r="B125">
        <v>3</v>
      </c>
      <c r="C125">
        <v>9</v>
      </c>
      <c r="D125">
        <v>37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 t="s">
        <v>104</v>
      </c>
      <c r="L125">
        <v>9</v>
      </c>
      <c r="M125">
        <v>75</v>
      </c>
      <c r="N125">
        <v>1</v>
      </c>
    </row>
    <row r="126" spans="1:14" x14ac:dyDescent="0.3">
      <c r="A126" t="s">
        <v>64</v>
      </c>
      <c r="B126">
        <v>3</v>
      </c>
      <c r="C126">
        <v>3</v>
      </c>
      <c r="D126">
        <v>56.25</v>
      </c>
      <c r="E126">
        <v>0</v>
      </c>
      <c r="F126">
        <v>0</v>
      </c>
      <c r="G126">
        <v>1</v>
      </c>
      <c r="H126">
        <v>0</v>
      </c>
      <c r="I126">
        <v>0</v>
      </c>
      <c r="J126">
        <v>0</v>
      </c>
      <c r="K126" t="s">
        <v>104</v>
      </c>
      <c r="L126">
        <v>1</v>
      </c>
      <c r="M126">
        <v>75</v>
      </c>
      <c r="N126">
        <v>1</v>
      </c>
    </row>
    <row r="127" spans="1:14" x14ac:dyDescent="0.3">
      <c r="A127" t="s">
        <v>65</v>
      </c>
      <c r="B127">
        <v>3</v>
      </c>
      <c r="C127">
        <v>7</v>
      </c>
      <c r="D127">
        <v>53.5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 t="s">
        <v>104</v>
      </c>
      <c r="L127">
        <v>6</v>
      </c>
      <c r="M127">
        <v>75</v>
      </c>
      <c r="N127">
        <v>1</v>
      </c>
    </row>
    <row r="128" spans="1:14" x14ac:dyDescent="0.3">
      <c r="A128" t="s">
        <v>24</v>
      </c>
      <c r="B128">
        <v>1</v>
      </c>
      <c r="C128">
        <v>6</v>
      </c>
      <c r="D128">
        <v>26.5</v>
      </c>
      <c r="E128">
        <v>0</v>
      </c>
      <c r="F128">
        <v>1</v>
      </c>
      <c r="G128">
        <v>0</v>
      </c>
      <c r="H128">
        <v>0</v>
      </c>
      <c r="I128">
        <v>0</v>
      </c>
      <c r="J128">
        <v>0</v>
      </c>
      <c r="K128" t="s">
        <v>5</v>
      </c>
      <c r="L128">
        <v>1</v>
      </c>
      <c r="M128">
        <v>40</v>
      </c>
      <c r="N128">
        <v>0</v>
      </c>
    </row>
    <row r="129" spans="1:14" x14ac:dyDescent="0.3">
      <c r="A129" t="s">
        <v>25</v>
      </c>
      <c r="B129">
        <v>3</v>
      </c>
      <c r="C129">
        <v>15</v>
      </c>
      <c r="D129">
        <v>46.5</v>
      </c>
      <c r="E129">
        <v>0</v>
      </c>
      <c r="F129">
        <v>0</v>
      </c>
      <c r="G129">
        <v>1</v>
      </c>
      <c r="H129">
        <v>0</v>
      </c>
      <c r="I129">
        <v>0</v>
      </c>
      <c r="J129">
        <v>0</v>
      </c>
      <c r="K129" t="s">
        <v>5</v>
      </c>
      <c r="L129">
        <v>2</v>
      </c>
      <c r="M129">
        <v>40</v>
      </c>
      <c r="N129">
        <v>0</v>
      </c>
    </row>
    <row r="130" spans="1:14" x14ac:dyDescent="0.3">
      <c r="A130" t="s">
        <v>27</v>
      </c>
      <c r="B130">
        <v>3</v>
      </c>
      <c r="C130">
        <v>1</v>
      </c>
      <c r="D130">
        <v>59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0</v>
      </c>
      <c r="K130" t="s">
        <v>5</v>
      </c>
      <c r="L130">
        <v>5</v>
      </c>
      <c r="M130">
        <v>40</v>
      </c>
      <c r="N130">
        <v>0</v>
      </c>
    </row>
    <row r="131" spans="1:14" x14ac:dyDescent="0.3">
      <c r="A131" t="s">
        <v>30</v>
      </c>
      <c r="B131">
        <v>3</v>
      </c>
      <c r="C131">
        <v>17</v>
      </c>
      <c r="D131">
        <v>56.25</v>
      </c>
      <c r="E131">
        <v>0</v>
      </c>
      <c r="F131">
        <v>0</v>
      </c>
      <c r="G131">
        <v>1</v>
      </c>
      <c r="H131">
        <v>1</v>
      </c>
      <c r="I131">
        <v>0</v>
      </c>
      <c r="J131">
        <v>0</v>
      </c>
      <c r="K131" t="s">
        <v>5</v>
      </c>
      <c r="L131">
        <v>1</v>
      </c>
      <c r="M131">
        <v>40</v>
      </c>
      <c r="N131">
        <v>0</v>
      </c>
    </row>
    <row r="132" spans="1:14" x14ac:dyDescent="0.3">
      <c r="A132" t="s">
        <v>176</v>
      </c>
      <c r="B132">
        <v>3</v>
      </c>
      <c r="C132">
        <v>5</v>
      </c>
      <c r="D132">
        <v>25</v>
      </c>
      <c r="E132">
        <v>1</v>
      </c>
      <c r="F132">
        <v>1</v>
      </c>
      <c r="G132">
        <v>0</v>
      </c>
      <c r="H132">
        <v>0</v>
      </c>
      <c r="I132">
        <v>0</v>
      </c>
      <c r="J132">
        <v>1</v>
      </c>
      <c r="K132" t="s">
        <v>5</v>
      </c>
      <c r="L132">
        <v>5</v>
      </c>
      <c r="M132">
        <v>40</v>
      </c>
      <c r="N132">
        <v>0</v>
      </c>
    </row>
    <row r="133" spans="1:14" x14ac:dyDescent="0.3">
      <c r="A133" t="s">
        <v>41</v>
      </c>
      <c r="B133">
        <v>3</v>
      </c>
      <c r="C133">
        <v>2</v>
      </c>
      <c r="D133">
        <v>25.5</v>
      </c>
      <c r="E133">
        <v>0</v>
      </c>
      <c r="F133">
        <v>1</v>
      </c>
      <c r="G133">
        <v>1</v>
      </c>
      <c r="H133">
        <v>0</v>
      </c>
      <c r="I133">
        <v>0</v>
      </c>
      <c r="J133">
        <v>0</v>
      </c>
      <c r="K133" t="s">
        <v>5</v>
      </c>
      <c r="L133">
        <v>3</v>
      </c>
      <c r="M133">
        <v>40</v>
      </c>
      <c r="N133">
        <v>0</v>
      </c>
    </row>
    <row r="134" spans="1:14" x14ac:dyDescent="0.3">
      <c r="A134" t="s">
        <v>42</v>
      </c>
      <c r="B134">
        <v>3</v>
      </c>
      <c r="C134">
        <v>12</v>
      </c>
      <c r="D134">
        <v>29.25</v>
      </c>
      <c r="E134">
        <v>1</v>
      </c>
      <c r="F134">
        <v>1</v>
      </c>
      <c r="G134">
        <v>0</v>
      </c>
      <c r="H134">
        <v>0</v>
      </c>
      <c r="I134">
        <v>0</v>
      </c>
      <c r="J134">
        <v>1</v>
      </c>
      <c r="K134" t="s">
        <v>5</v>
      </c>
      <c r="L134">
        <v>26</v>
      </c>
      <c r="M134">
        <v>40</v>
      </c>
      <c r="N134">
        <v>0</v>
      </c>
    </row>
    <row r="135" spans="1:14" x14ac:dyDescent="0.3">
      <c r="A135" t="s">
        <v>47</v>
      </c>
      <c r="B135">
        <v>1</v>
      </c>
      <c r="C135">
        <v>3</v>
      </c>
      <c r="D135">
        <v>73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0</v>
      </c>
      <c r="K135" t="s">
        <v>5</v>
      </c>
      <c r="L135">
        <v>3</v>
      </c>
      <c r="M135">
        <v>40</v>
      </c>
      <c r="N135">
        <v>0</v>
      </c>
    </row>
    <row r="136" spans="1:14" x14ac:dyDescent="0.3">
      <c r="A136" t="s">
        <v>49</v>
      </c>
      <c r="B136">
        <v>3</v>
      </c>
      <c r="C136">
        <v>6</v>
      </c>
      <c r="D136">
        <v>26.75</v>
      </c>
      <c r="E136">
        <v>0</v>
      </c>
      <c r="F136">
        <v>0</v>
      </c>
      <c r="G136">
        <v>1</v>
      </c>
      <c r="H136">
        <v>0</v>
      </c>
      <c r="I136">
        <v>0</v>
      </c>
      <c r="J136">
        <v>0</v>
      </c>
      <c r="K136" t="s">
        <v>5</v>
      </c>
      <c r="L136">
        <v>2</v>
      </c>
      <c r="M136">
        <v>40</v>
      </c>
      <c r="N136">
        <v>0</v>
      </c>
    </row>
    <row r="137" spans="1:14" x14ac:dyDescent="0.3">
      <c r="A137" t="s">
        <v>57</v>
      </c>
      <c r="B137">
        <v>1</v>
      </c>
      <c r="C137">
        <v>10</v>
      </c>
      <c r="D137">
        <v>40.75</v>
      </c>
      <c r="E137">
        <v>0</v>
      </c>
      <c r="F137">
        <v>1</v>
      </c>
      <c r="G137">
        <v>0</v>
      </c>
      <c r="H137">
        <v>0</v>
      </c>
      <c r="I137">
        <v>0</v>
      </c>
      <c r="J137">
        <v>0</v>
      </c>
      <c r="K137" t="s">
        <v>5</v>
      </c>
      <c r="L137">
        <v>203</v>
      </c>
      <c r="M137">
        <v>40</v>
      </c>
      <c r="N137">
        <v>0</v>
      </c>
    </row>
    <row r="138" spans="1:14" x14ac:dyDescent="0.3">
      <c r="A138" t="s">
        <v>65</v>
      </c>
      <c r="B138">
        <v>3</v>
      </c>
      <c r="C138">
        <v>7</v>
      </c>
      <c r="D138">
        <v>53.5</v>
      </c>
      <c r="E138">
        <v>0</v>
      </c>
      <c r="F138">
        <v>0</v>
      </c>
      <c r="G138">
        <v>1</v>
      </c>
      <c r="H138">
        <v>0</v>
      </c>
      <c r="I138">
        <v>0</v>
      </c>
      <c r="J138">
        <v>0</v>
      </c>
      <c r="K138" t="s">
        <v>5</v>
      </c>
      <c r="L138">
        <v>3</v>
      </c>
      <c r="M138">
        <v>40</v>
      </c>
      <c r="N138">
        <v>0</v>
      </c>
    </row>
    <row r="139" spans="1:14" x14ac:dyDescent="0.3">
      <c r="A139" t="s">
        <v>27</v>
      </c>
      <c r="B139">
        <v>3</v>
      </c>
      <c r="C139">
        <v>1</v>
      </c>
      <c r="D139">
        <v>59</v>
      </c>
      <c r="E139">
        <v>0</v>
      </c>
      <c r="F139">
        <v>0</v>
      </c>
      <c r="G139">
        <v>0</v>
      </c>
      <c r="H139">
        <v>1</v>
      </c>
      <c r="I139">
        <v>0</v>
      </c>
      <c r="J139">
        <v>0</v>
      </c>
      <c r="K139" t="s">
        <v>6</v>
      </c>
      <c r="L139">
        <v>4</v>
      </c>
      <c r="M139">
        <v>3</v>
      </c>
      <c r="N139">
        <v>0</v>
      </c>
    </row>
    <row r="140" spans="1:14" x14ac:dyDescent="0.3">
      <c r="A140" t="s">
        <v>30</v>
      </c>
      <c r="B140">
        <v>3</v>
      </c>
      <c r="C140">
        <v>17</v>
      </c>
      <c r="D140">
        <v>56.25</v>
      </c>
      <c r="E140">
        <v>0</v>
      </c>
      <c r="F140">
        <v>0</v>
      </c>
      <c r="G140">
        <v>1</v>
      </c>
      <c r="H140">
        <v>1</v>
      </c>
      <c r="I140">
        <v>0</v>
      </c>
      <c r="J140">
        <v>0</v>
      </c>
      <c r="K140" t="s">
        <v>6</v>
      </c>
      <c r="L140">
        <v>3</v>
      </c>
      <c r="M140">
        <v>3</v>
      </c>
      <c r="N140">
        <v>0</v>
      </c>
    </row>
    <row r="141" spans="1:14" x14ac:dyDescent="0.3">
      <c r="A141" t="s">
        <v>36</v>
      </c>
      <c r="B141">
        <v>2</v>
      </c>
      <c r="C141">
        <v>48</v>
      </c>
      <c r="D141">
        <v>25.75</v>
      </c>
      <c r="E141">
        <v>0</v>
      </c>
      <c r="F141">
        <v>1</v>
      </c>
      <c r="G141">
        <v>0</v>
      </c>
      <c r="H141">
        <v>1</v>
      </c>
      <c r="I141">
        <v>0</v>
      </c>
      <c r="J141">
        <v>0</v>
      </c>
      <c r="K141" t="s">
        <v>6</v>
      </c>
      <c r="L141">
        <v>1</v>
      </c>
      <c r="M141">
        <v>3</v>
      </c>
      <c r="N141">
        <v>0</v>
      </c>
    </row>
    <row r="142" spans="1:14" x14ac:dyDescent="0.3">
      <c r="A142" t="s">
        <v>41</v>
      </c>
      <c r="B142">
        <v>3</v>
      </c>
      <c r="C142">
        <v>2</v>
      </c>
      <c r="D142">
        <v>25.5</v>
      </c>
      <c r="E142">
        <v>0</v>
      </c>
      <c r="F142">
        <v>1</v>
      </c>
      <c r="G142">
        <v>1</v>
      </c>
      <c r="H142">
        <v>0</v>
      </c>
      <c r="I142">
        <v>0</v>
      </c>
      <c r="J142">
        <v>0</v>
      </c>
      <c r="K142" t="s">
        <v>6</v>
      </c>
      <c r="L142">
        <v>1</v>
      </c>
      <c r="M142">
        <v>3</v>
      </c>
      <c r="N142">
        <v>0</v>
      </c>
    </row>
    <row r="143" spans="1:14" x14ac:dyDescent="0.3">
      <c r="A143" t="s">
        <v>42</v>
      </c>
      <c r="B143">
        <v>3</v>
      </c>
      <c r="C143">
        <v>12</v>
      </c>
      <c r="D143">
        <v>29.25</v>
      </c>
      <c r="E143">
        <v>1</v>
      </c>
      <c r="F143">
        <v>1</v>
      </c>
      <c r="G143">
        <v>0</v>
      </c>
      <c r="H143">
        <v>0</v>
      </c>
      <c r="I143">
        <v>0</v>
      </c>
      <c r="J143">
        <v>1</v>
      </c>
      <c r="K143" t="s">
        <v>6</v>
      </c>
      <c r="L143">
        <v>1</v>
      </c>
      <c r="M143">
        <v>3</v>
      </c>
      <c r="N143">
        <v>0</v>
      </c>
    </row>
    <row r="144" spans="1:14" x14ac:dyDescent="0.3">
      <c r="A144" t="s">
        <v>57</v>
      </c>
      <c r="B144">
        <v>1</v>
      </c>
      <c r="C144">
        <v>10</v>
      </c>
      <c r="D144">
        <v>40.75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 t="s">
        <v>6</v>
      </c>
      <c r="L144">
        <v>1</v>
      </c>
      <c r="M144">
        <v>3</v>
      </c>
      <c r="N144">
        <v>0</v>
      </c>
    </row>
    <row r="145" spans="1:14" x14ac:dyDescent="0.3">
      <c r="A145" t="s">
        <v>23</v>
      </c>
      <c r="B145">
        <v>2</v>
      </c>
      <c r="C145">
        <v>4</v>
      </c>
      <c r="D145">
        <v>24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 t="s">
        <v>7</v>
      </c>
      <c r="L145">
        <v>3</v>
      </c>
      <c r="M145">
        <v>0</v>
      </c>
      <c r="N145">
        <v>0</v>
      </c>
    </row>
    <row r="146" spans="1:14" x14ac:dyDescent="0.3">
      <c r="A146" t="s">
        <v>24</v>
      </c>
      <c r="B146">
        <v>1</v>
      </c>
      <c r="C146">
        <v>6</v>
      </c>
      <c r="D146">
        <v>26.5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 t="s">
        <v>7</v>
      </c>
      <c r="L146">
        <v>2</v>
      </c>
      <c r="M146">
        <v>0</v>
      </c>
      <c r="N146">
        <v>0</v>
      </c>
    </row>
    <row r="147" spans="1:14" x14ac:dyDescent="0.3">
      <c r="A147" t="s">
        <v>25</v>
      </c>
      <c r="B147">
        <v>3</v>
      </c>
      <c r="C147">
        <v>15</v>
      </c>
      <c r="D147">
        <v>46.5</v>
      </c>
      <c r="E147">
        <v>0</v>
      </c>
      <c r="F147">
        <v>0</v>
      </c>
      <c r="G147">
        <v>1</v>
      </c>
      <c r="H147">
        <v>0</v>
      </c>
      <c r="I147">
        <v>0</v>
      </c>
      <c r="J147">
        <v>0</v>
      </c>
      <c r="K147" t="s">
        <v>7</v>
      </c>
      <c r="L147">
        <v>4</v>
      </c>
      <c r="M147">
        <v>0</v>
      </c>
      <c r="N147">
        <v>0</v>
      </c>
    </row>
    <row r="148" spans="1:14" x14ac:dyDescent="0.3">
      <c r="A148" t="s">
        <v>27</v>
      </c>
      <c r="B148">
        <v>3</v>
      </c>
      <c r="C148">
        <v>1</v>
      </c>
      <c r="D148">
        <v>59</v>
      </c>
      <c r="E148">
        <v>0</v>
      </c>
      <c r="F148">
        <v>0</v>
      </c>
      <c r="G148">
        <v>0</v>
      </c>
      <c r="H148">
        <v>1</v>
      </c>
      <c r="I148">
        <v>0</v>
      </c>
      <c r="J148">
        <v>0</v>
      </c>
      <c r="K148" t="s">
        <v>7</v>
      </c>
      <c r="L148">
        <v>20</v>
      </c>
      <c r="M148">
        <v>0</v>
      </c>
      <c r="N148">
        <v>0</v>
      </c>
    </row>
    <row r="149" spans="1:14" x14ac:dyDescent="0.3">
      <c r="A149" t="s">
        <v>28</v>
      </c>
      <c r="B149">
        <v>1</v>
      </c>
      <c r="C149">
        <v>2</v>
      </c>
      <c r="D149">
        <v>58</v>
      </c>
      <c r="E149">
        <v>0</v>
      </c>
      <c r="F149">
        <v>0</v>
      </c>
      <c r="G149">
        <v>1</v>
      </c>
      <c r="H149">
        <v>1</v>
      </c>
      <c r="I149">
        <v>0</v>
      </c>
      <c r="J149">
        <v>0</v>
      </c>
      <c r="K149" t="s">
        <v>7</v>
      </c>
      <c r="L149">
        <v>1</v>
      </c>
      <c r="M149">
        <v>0</v>
      </c>
      <c r="N149">
        <v>0</v>
      </c>
    </row>
    <row r="150" spans="1:14" x14ac:dyDescent="0.3">
      <c r="A150" t="s">
        <v>30</v>
      </c>
      <c r="B150">
        <v>3</v>
      </c>
      <c r="C150">
        <v>17</v>
      </c>
      <c r="D150">
        <v>56.25</v>
      </c>
      <c r="E150">
        <v>0</v>
      </c>
      <c r="F150">
        <v>0</v>
      </c>
      <c r="G150">
        <v>1</v>
      </c>
      <c r="H150">
        <v>1</v>
      </c>
      <c r="I150">
        <v>0</v>
      </c>
      <c r="J150">
        <v>0</v>
      </c>
      <c r="K150" t="s">
        <v>7</v>
      </c>
      <c r="L150">
        <v>6</v>
      </c>
      <c r="M150">
        <v>0</v>
      </c>
      <c r="N150">
        <v>0</v>
      </c>
    </row>
    <row r="151" spans="1:14" x14ac:dyDescent="0.3">
      <c r="A151" t="s">
        <v>32</v>
      </c>
      <c r="B151">
        <v>3</v>
      </c>
      <c r="C151">
        <v>10</v>
      </c>
      <c r="D151">
        <v>44.5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 t="s">
        <v>7</v>
      </c>
      <c r="L151">
        <v>2</v>
      </c>
      <c r="M151">
        <v>0</v>
      </c>
      <c r="N151">
        <v>0</v>
      </c>
    </row>
    <row r="152" spans="1:14" x14ac:dyDescent="0.3">
      <c r="A152" t="s">
        <v>41</v>
      </c>
      <c r="B152">
        <v>3</v>
      </c>
      <c r="C152">
        <v>2</v>
      </c>
      <c r="D152">
        <v>25.5</v>
      </c>
      <c r="E152">
        <v>0</v>
      </c>
      <c r="F152">
        <v>1</v>
      </c>
      <c r="G152">
        <v>1</v>
      </c>
      <c r="H152">
        <v>0</v>
      </c>
      <c r="I152">
        <v>0</v>
      </c>
      <c r="J152">
        <v>0</v>
      </c>
      <c r="K152" t="s">
        <v>7</v>
      </c>
      <c r="L152">
        <v>3</v>
      </c>
      <c r="M152">
        <v>0</v>
      </c>
      <c r="N152">
        <v>0</v>
      </c>
    </row>
    <row r="153" spans="1:14" x14ac:dyDescent="0.3">
      <c r="A153" t="s">
        <v>42</v>
      </c>
      <c r="B153">
        <v>3</v>
      </c>
      <c r="C153">
        <v>12</v>
      </c>
      <c r="D153">
        <v>29.25</v>
      </c>
      <c r="E153">
        <v>1</v>
      </c>
      <c r="F153">
        <v>1</v>
      </c>
      <c r="G153">
        <v>0</v>
      </c>
      <c r="H153">
        <v>0</v>
      </c>
      <c r="I153">
        <v>0</v>
      </c>
      <c r="J153">
        <v>1</v>
      </c>
      <c r="K153" t="s">
        <v>7</v>
      </c>
      <c r="L153">
        <v>5</v>
      </c>
      <c r="M153">
        <v>0</v>
      </c>
      <c r="N153">
        <v>0</v>
      </c>
    </row>
    <row r="154" spans="1:14" x14ac:dyDescent="0.3">
      <c r="A154" t="s">
        <v>47</v>
      </c>
      <c r="B154">
        <v>1</v>
      </c>
      <c r="C154">
        <v>3</v>
      </c>
      <c r="D154">
        <v>73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0</v>
      </c>
      <c r="K154" t="s">
        <v>7</v>
      </c>
      <c r="L154">
        <v>3</v>
      </c>
      <c r="M154">
        <v>0</v>
      </c>
      <c r="N154">
        <v>0</v>
      </c>
    </row>
    <row r="155" spans="1:14" x14ac:dyDescent="0.3">
      <c r="A155" t="s">
        <v>56</v>
      </c>
      <c r="B155">
        <v>3</v>
      </c>
      <c r="C155">
        <v>1</v>
      </c>
      <c r="D155">
        <v>50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 t="s">
        <v>7</v>
      </c>
      <c r="L155">
        <v>2</v>
      </c>
      <c r="M155">
        <v>0</v>
      </c>
      <c r="N155">
        <v>0</v>
      </c>
    </row>
    <row r="156" spans="1:14" x14ac:dyDescent="0.3">
      <c r="A156" t="s">
        <v>57</v>
      </c>
      <c r="B156">
        <v>1</v>
      </c>
      <c r="C156">
        <v>10</v>
      </c>
      <c r="D156">
        <v>40.75</v>
      </c>
      <c r="E156">
        <v>0</v>
      </c>
      <c r="F156">
        <v>1</v>
      </c>
      <c r="G156">
        <v>0</v>
      </c>
      <c r="H156">
        <v>0</v>
      </c>
      <c r="I156">
        <v>0</v>
      </c>
      <c r="J156">
        <v>0</v>
      </c>
      <c r="K156" t="s">
        <v>7</v>
      </c>
      <c r="L156">
        <v>9</v>
      </c>
      <c r="M156">
        <v>0</v>
      </c>
      <c r="N156">
        <v>0</v>
      </c>
    </row>
    <row r="157" spans="1:14" x14ac:dyDescent="0.3">
      <c r="A157" t="s">
        <v>64</v>
      </c>
      <c r="B157">
        <v>3</v>
      </c>
      <c r="C157">
        <v>3</v>
      </c>
      <c r="D157">
        <v>56.25</v>
      </c>
      <c r="E157">
        <v>0</v>
      </c>
      <c r="F157">
        <v>0</v>
      </c>
      <c r="G157">
        <v>1</v>
      </c>
      <c r="H157">
        <v>0</v>
      </c>
      <c r="I157">
        <v>0</v>
      </c>
      <c r="J157">
        <v>0</v>
      </c>
      <c r="K157" t="s">
        <v>7</v>
      </c>
      <c r="L157">
        <v>1</v>
      </c>
      <c r="M157">
        <v>0</v>
      </c>
      <c r="N157">
        <v>0</v>
      </c>
    </row>
    <row r="158" spans="1:14" x14ac:dyDescent="0.3">
      <c r="A158" t="s">
        <v>18</v>
      </c>
      <c r="B158">
        <v>3</v>
      </c>
      <c r="C158">
        <v>2</v>
      </c>
      <c r="D158">
        <v>30</v>
      </c>
      <c r="E158">
        <v>0</v>
      </c>
      <c r="F158">
        <v>0</v>
      </c>
      <c r="G158">
        <v>1</v>
      </c>
      <c r="H158">
        <v>0</v>
      </c>
      <c r="I158">
        <v>0</v>
      </c>
      <c r="J158">
        <v>0</v>
      </c>
      <c r="K158" t="s">
        <v>8</v>
      </c>
      <c r="L158">
        <v>1</v>
      </c>
      <c r="M158">
        <v>0</v>
      </c>
      <c r="N158">
        <v>1</v>
      </c>
    </row>
    <row r="159" spans="1:14" x14ac:dyDescent="0.3">
      <c r="A159" t="s">
        <v>19</v>
      </c>
      <c r="B159">
        <v>2</v>
      </c>
      <c r="C159">
        <v>14</v>
      </c>
      <c r="D159">
        <v>28.25</v>
      </c>
      <c r="E159">
        <v>0</v>
      </c>
      <c r="F159">
        <v>0</v>
      </c>
      <c r="G159">
        <v>1</v>
      </c>
      <c r="H159">
        <v>0</v>
      </c>
      <c r="I159">
        <v>0</v>
      </c>
      <c r="J159">
        <v>0</v>
      </c>
      <c r="K159" t="s">
        <v>8</v>
      </c>
      <c r="L159">
        <v>1</v>
      </c>
      <c r="M159">
        <v>0</v>
      </c>
      <c r="N159">
        <v>1</v>
      </c>
    </row>
    <row r="160" spans="1:14" x14ac:dyDescent="0.3">
      <c r="A160" t="s">
        <v>23</v>
      </c>
      <c r="B160">
        <v>2</v>
      </c>
      <c r="C160">
        <v>4</v>
      </c>
      <c r="D160">
        <v>24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0</v>
      </c>
      <c r="K160" t="s">
        <v>8</v>
      </c>
      <c r="L160">
        <v>6</v>
      </c>
      <c r="M160">
        <v>0</v>
      </c>
      <c r="N160">
        <v>1</v>
      </c>
    </row>
    <row r="161" spans="1:14" x14ac:dyDescent="0.3">
      <c r="A161" t="s">
        <v>24</v>
      </c>
      <c r="B161">
        <v>1</v>
      </c>
      <c r="C161">
        <v>6</v>
      </c>
      <c r="D161">
        <v>26.5</v>
      </c>
      <c r="E161">
        <v>0</v>
      </c>
      <c r="F161">
        <v>1</v>
      </c>
      <c r="G161">
        <v>0</v>
      </c>
      <c r="H161">
        <v>0</v>
      </c>
      <c r="I161">
        <v>0</v>
      </c>
      <c r="J161">
        <v>0</v>
      </c>
      <c r="K161" t="s">
        <v>8</v>
      </c>
      <c r="L161">
        <v>4</v>
      </c>
      <c r="M161">
        <v>0</v>
      </c>
      <c r="N161">
        <v>1</v>
      </c>
    </row>
    <row r="162" spans="1:14" x14ac:dyDescent="0.3">
      <c r="A162" t="s">
        <v>25</v>
      </c>
      <c r="B162">
        <v>3</v>
      </c>
      <c r="C162">
        <v>15</v>
      </c>
      <c r="D162">
        <v>46.5</v>
      </c>
      <c r="E162">
        <v>0</v>
      </c>
      <c r="F162">
        <v>0</v>
      </c>
      <c r="G162">
        <v>1</v>
      </c>
      <c r="H162">
        <v>0</v>
      </c>
      <c r="I162">
        <v>0</v>
      </c>
      <c r="J162">
        <v>0</v>
      </c>
      <c r="K162" t="s">
        <v>8</v>
      </c>
      <c r="L162">
        <v>11</v>
      </c>
      <c r="M162">
        <v>0</v>
      </c>
      <c r="N162">
        <v>1</v>
      </c>
    </row>
    <row r="163" spans="1:14" x14ac:dyDescent="0.3">
      <c r="A163" t="s">
        <v>27</v>
      </c>
      <c r="B163">
        <v>3</v>
      </c>
      <c r="C163">
        <v>1</v>
      </c>
      <c r="D163">
        <v>59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 t="s">
        <v>8</v>
      </c>
      <c r="L163">
        <v>4</v>
      </c>
      <c r="M163">
        <v>0</v>
      </c>
      <c r="N163">
        <v>1</v>
      </c>
    </row>
    <row r="164" spans="1:14" x14ac:dyDescent="0.3">
      <c r="A164" t="s">
        <v>29</v>
      </c>
      <c r="B164">
        <v>3</v>
      </c>
      <c r="C164">
        <v>4</v>
      </c>
      <c r="D164">
        <v>37.25</v>
      </c>
      <c r="E164">
        <v>0</v>
      </c>
      <c r="F164">
        <v>0</v>
      </c>
      <c r="G164">
        <v>1</v>
      </c>
      <c r="H164">
        <v>0</v>
      </c>
      <c r="I164">
        <v>0</v>
      </c>
      <c r="J164">
        <v>0</v>
      </c>
      <c r="K164" t="s">
        <v>8</v>
      </c>
      <c r="L164">
        <v>14</v>
      </c>
      <c r="M164">
        <v>0</v>
      </c>
      <c r="N164">
        <v>1</v>
      </c>
    </row>
    <row r="165" spans="1:14" x14ac:dyDescent="0.3">
      <c r="A165" t="s">
        <v>30</v>
      </c>
      <c r="B165">
        <v>3</v>
      </c>
      <c r="C165">
        <v>17</v>
      </c>
      <c r="D165">
        <v>56.25</v>
      </c>
      <c r="E165">
        <v>0</v>
      </c>
      <c r="F165">
        <v>0</v>
      </c>
      <c r="G165">
        <v>1</v>
      </c>
      <c r="H165">
        <v>1</v>
      </c>
      <c r="I165">
        <v>0</v>
      </c>
      <c r="J165">
        <v>0</v>
      </c>
      <c r="K165" t="s">
        <v>8</v>
      </c>
      <c r="L165">
        <v>9</v>
      </c>
      <c r="M165">
        <v>0</v>
      </c>
      <c r="N165">
        <v>1</v>
      </c>
    </row>
    <row r="166" spans="1:14" x14ac:dyDescent="0.3">
      <c r="A166" t="s">
        <v>176</v>
      </c>
      <c r="B166">
        <v>3</v>
      </c>
      <c r="C166">
        <v>5</v>
      </c>
      <c r="D166">
        <v>25</v>
      </c>
      <c r="E166">
        <v>1</v>
      </c>
      <c r="F166">
        <v>1</v>
      </c>
      <c r="G166">
        <v>0</v>
      </c>
      <c r="H166">
        <v>0</v>
      </c>
      <c r="I166">
        <v>0</v>
      </c>
      <c r="J166">
        <v>1</v>
      </c>
      <c r="K166" t="s">
        <v>8</v>
      </c>
      <c r="L166">
        <v>14</v>
      </c>
      <c r="M166">
        <v>0</v>
      </c>
      <c r="N166">
        <v>1</v>
      </c>
    </row>
    <row r="167" spans="1:14" x14ac:dyDescent="0.3">
      <c r="A167" t="s">
        <v>36</v>
      </c>
      <c r="B167">
        <v>2</v>
      </c>
      <c r="C167">
        <v>48</v>
      </c>
      <c r="D167">
        <v>25.75</v>
      </c>
      <c r="E167">
        <v>0</v>
      </c>
      <c r="F167">
        <v>1</v>
      </c>
      <c r="G167">
        <v>0</v>
      </c>
      <c r="H167">
        <v>1</v>
      </c>
      <c r="I167">
        <v>0</v>
      </c>
      <c r="J167">
        <v>0</v>
      </c>
      <c r="K167" t="s">
        <v>8</v>
      </c>
      <c r="L167">
        <v>3</v>
      </c>
      <c r="M167">
        <v>0</v>
      </c>
      <c r="N167">
        <v>1</v>
      </c>
    </row>
    <row r="168" spans="1:14" x14ac:dyDescent="0.3">
      <c r="A168" t="s">
        <v>39</v>
      </c>
      <c r="B168">
        <v>3</v>
      </c>
      <c r="C168">
        <v>10</v>
      </c>
      <c r="D168">
        <v>25</v>
      </c>
      <c r="E168">
        <v>0</v>
      </c>
      <c r="F168">
        <v>1</v>
      </c>
      <c r="G168">
        <v>0</v>
      </c>
      <c r="H168">
        <v>0</v>
      </c>
      <c r="I168">
        <v>0</v>
      </c>
      <c r="J168">
        <v>0</v>
      </c>
      <c r="K168" t="s">
        <v>8</v>
      </c>
      <c r="L168">
        <v>1</v>
      </c>
      <c r="M168">
        <v>0</v>
      </c>
      <c r="N168">
        <v>1</v>
      </c>
    </row>
    <row r="169" spans="1:14" x14ac:dyDescent="0.3">
      <c r="A169" t="s">
        <v>41</v>
      </c>
      <c r="B169">
        <v>3</v>
      </c>
      <c r="C169">
        <v>2</v>
      </c>
      <c r="D169">
        <v>25.5</v>
      </c>
      <c r="E169">
        <v>0</v>
      </c>
      <c r="F169">
        <v>1</v>
      </c>
      <c r="G169">
        <v>1</v>
      </c>
      <c r="H169">
        <v>0</v>
      </c>
      <c r="I169">
        <v>0</v>
      </c>
      <c r="J169">
        <v>0</v>
      </c>
      <c r="K169" t="s">
        <v>8</v>
      </c>
      <c r="L169">
        <v>6</v>
      </c>
      <c r="M169">
        <v>0</v>
      </c>
      <c r="N169">
        <v>1</v>
      </c>
    </row>
    <row r="170" spans="1:14" x14ac:dyDescent="0.3">
      <c r="A170" t="s">
        <v>42</v>
      </c>
      <c r="B170">
        <v>3</v>
      </c>
      <c r="C170">
        <v>12</v>
      </c>
      <c r="D170">
        <v>29.25</v>
      </c>
      <c r="E170">
        <v>1</v>
      </c>
      <c r="F170">
        <v>1</v>
      </c>
      <c r="G170">
        <v>0</v>
      </c>
      <c r="H170">
        <v>0</v>
      </c>
      <c r="I170">
        <v>0</v>
      </c>
      <c r="J170">
        <v>1</v>
      </c>
      <c r="K170" t="s">
        <v>8</v>
      </c>
      <c r="L170">
        <v>27</v>
      </c>
      <c r="M170">
        <v>0</v>
      </c>
      <c r="N170">
        <v>1</v>
      </c>
    </row>
    <row r="171" spans="1:14" x14ac:dyDescent="0.3">
      <c r="A171" t="s">
        <v>47</v>
      </c>
      <c r="B171">
        <v>1</v>
      </c>
      <c r="C171">
        <v>3</v>
      </c>
      <c r="D171">
        <v>73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 t="s">
        <v>8</v>
      </c>
      <c r="L171">
        <v>2</v>
      </c>
      <c r="M171">
        <v>0</v>
      </c>
      <c r="N171">
        <v>1</v>
      </c>
    </row>
    <row r="172" spans="1:14" x14ac:dyDescent="0.3">
      <c r="A172" t="s">
        <v>57</v>
      </c>
      <c r="B172">
        <v>1</v>
      </c>
      <c r="C172">
        <v>10</v>
      </c>
      <c r="D172">
        <v>40.75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 t="s">
        <v>8</v>
      </c>
      <c r="L172">
        <v>57</v>
      </c>
      <c r="M172">
        <v>0</v>
      </c>
      <c r="N172">
        <v>1</v>
      </c>
    </row>
    <row r="173" spans="1:14" x14ac:dyDescent="0.3">
      <c r="A173" t="s">
        <v>60</v>
      </c>
      <c r="B173">
        <v>3</v>
      </c>
      <c r="C173">
        <v>9</v>
      </c>
      <c r="D173">
        <v>37</v>
      </c>
      <c r="E173">
        <v>0</v>
      </c>
      <c r="F173">
        <v>1</v>
      </c>
      <c r="G173">
        <v>0</v>
      </c>
      <c r="H173">
        <v>0</v>
      </c>
      <c r="I173">
        <v>0</v>
      </c>
      <c r="J173">
        <v>0</v>
      </c>
      <c r="K173" t="s">
        <v>8</v>
      </c>
      <c r="L173">
        <v>6</v>
      </c>
      <c r="M173">
        <v>0</v>
      </c>
      <c r="N173">
        <v>1</v>
      </c>
    </row>
    <row r="174" spans="1:14" x14ac:dyDescent="0.3">
      <c r="A174" t="s">
        <v>62</v>
      </c>
      <c r="B174">
        <v>3</v>
      </c>
      <c r="C174">
        <v>7</v>
      </c>
      <c r="D174">
        <v>38</v>
      </c>
      <c r="E174">
        <v>0</v>
      </c>
      <c r="F174">
        <v>1</v>
      </c>
      <c r="G174">
        <v>1</v>
      </c>
      <c r="H174">
        <v>0</v>
      </c>
      <c r="I174">
        <v>0</v>
      </c>
      <c r="J174">
        <v>0</v>
      </c>
      <c r="K174" t="s">
        <v>8</v>
      </c>
      <c r="L174">
        <v>1</v>
      </c>
      <c r="M174">
        <v>0</v>
      </c>
      <c r="N174">
        <v>1</v>
      </c>
    </row>
    <row r="175" spans="1:14" x14ac:dyDescent="0.3">
      <c r="A175" t="s">
        <v>65</v>
      </c>
      <c r="B175">
        <v>3</v>
      </c>
      <c r="C175">
        <v>7</v>
      </c>
      <c r="D175">
        <v>53.5</v>
      </c>
      <c r="E175">
        <v>0</v>
      </c>
      <c r="F175">
        <v>0</v>
      </c>
      <c r="G175">
        <v>1</v>
      </c>
      <c r="H175">
        <v>0</v>
      </c>
      <c r="I175">
        <v>0</v>
      </c>
      <c r="J175">
        <v>0</v>
      </c>
      <c r="K175" t="s">
        <v>8</v>
      </c>
      <c r="L175">
        <v>3</v>
      </c>
      <c r="M175">
        <v>0</v>
      </c>
      <c r="N175">
        <v>1</v>
      </c>
    </row>
    <row r="176" spans="1:14" x14ac:dyDescent="0.3">
      <c r="A176" t="s">
        <v>15</v>
      </c>
      <c r="B176">
        <v>3</v>
      </c>
      <c r="C176">
        <v>1</v>
      </c>
      <c r="D176">
        <v>73.5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 t="s">
        <v>9</v>
      </c>
      <c r="L176">
        <v>2</v>
      </c>
      <c r="M176">
        <v>130</v>
      </c>
      <c r="N176">
        <v>1</v>
      </c>
    </row>
    <row r="177" spans="1:14" x14ac:dyDescent="0.3">
      <c r="A177" t="s">
        <v>19</v>
      </c>
      <c r="B177">
        <v>2</v>
      </c>
      <c r="C177">
        <v>14</v>
      </c>
      <c r="D177">
        <v>28.25</v>
      </c>
      <c r="E177">
        <v>0</v>
      </c>
      <c r="F177">
        <v>0</v>
      </c>
      <c r="G177">
        <v>1</v>
      </c>
      <c r="H177">
        <v>0</v>
      </c>
      <c r="I177">
        <v>0</v>
      </c>
      <c r="J177">
        <v>0</v>
      </c>
      <c r="K177" t="s">
        <v>9</v>
      </c>
      <c r="L177">
        <v>7</v>
      </c>
      <c r="M177">
        <v>130</v>
      </c>
      <c r="N177">
        <v>1</v>
      </c>
    </row>
    <row r="178" spans="1:14" x14ac:dyDescent="0.3">
      <c r="A178" t="s">
        <v>20</v>
      </c>
      <c r="B178">
        <v>2</v>
      </c>
      <c r="C178">
        <v>4</v>
      </c>
      <c r="D178">
        <v>26</v>
      </c>
      <c r="E178">
        <v>1</v>
      </c>
      <c r="F178">
        <v>1</v>
      </c>
      <c r="G178">
        <v>0</v>
      </c>
      <c r="H178">
        <v>0</v>
      </c>
      <c r="I178">
        <v>0</v>
      </c>
      <c r="J178">
        <v>0</v>
      </c>
      <c r="K178" t="s">
        <v>9</v>
      </c>
      <c r="L178">
        <v>1</v>
      </c>
      <c r="M178">
        <v>130</v>
      </c>
      <c r="N178">
        <v>1</v>
      </c>
    </row>
    <row r="179" spans="1:14" x14ac:dyDescent="0.3">
      <c r="A179" t="s">
        <v>25</v>
      </c>
      <c r="B179">
        <v>3</v>
      </c>
      <c r="C179">
        <v>15</v>
      </c>
      <c r="D179">
        <v>46.5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 t="s">
        <v>9</v>
      </c>
      <c r="L179">
        <v>4</v>
      </c>
      <c r="M179">
        <v>130</v>
      </c>
      <c r="N179">
        <v>1</v>
      </c>
    </row>
    <row r="180" spans="1:14" x14ac:dyDescent="0.3">
      <c r="A180" t="s">
        <v>27</v>
      </c>
      <c r="B180">
        <v>3</v>
      </c>
      <c r="C180">
        <v>1</v>
      </c>
      <c r="D180">
        <v>59</v>
      </c>
      <c r="E180">
        <v>0</v>
      </c>
      <c r="F180">
        <v>0</v>
      </c>
      <c r="G180">
        <v>0</v>
      </c>
      <c r="H180">
        <v>1</v>
      </c>
      <c r="I180">
        <v>0</v>
      </c>
      <c r="J180">
        <v>0</v>
      </c>
      <c r="K180" t="s">
        <v>9</v>
      </c>
      <c r="L180">
        <v>19</v>
      </c>
      <c r="M180">
        <v>130</v>
      </c>
      <c r="N180">
        <v>1</v>
      </c>
    </row>
    <row r="181" spans="1:14" x14ac:dyDescent="0.3">
      <c r="A181" t="s">
        <v>28</v>
      </c>
      <c r="B181">
        <v>1</v>
      </c>
      <c r="C181">
        <v>2</v>
      </c>
      <c r="D181">
        <v>58</v>
      </c>
      <c r="E181">
        <v>0</v>
      </c>
      <c r="F181">
        <v>0</v>
      </c>
      <c r="G181">
        <v>1</v>
      </c>
      <c r="H181">
        <v>1</v>
      </c>
      <c r="I181">
        <v>0</v>
      </c>
      <c r="J181">
        <v>0</v>
      </c>
      <c r="K181" t="s">
        <v>9</v>
      </c>
      <c r="L181">
        <v>1</v>
      </c>
      <c r="M181">
        <v>130</v>
      </c>
      <c r="N181">
        <v>1</v>
      </c>
    </row>
    <row r="182" spans="1:14" x14ac:dyDescent="0.3">
      <c r="A182" t="s">
        <v>29</v>
      </c>
      <c r="B182">
        <v>3</v>
      </c>
      <c r="C182">
        <v>4</v>
      </c>
      <c r="D182">
        <v>37.25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 t="s">
        <v>9</v>
      </c>
      <c r="L182">
        <v>7</v>
      </c>
      <c r="M182">
        <v>130</v>
      </c>
      <c r="N182">
        <v>1</v>
      </c>
    </row>
    <row r="183" spans="1:14" x14ac:dyDescent="0.3">
      <c r="A183" t="s">
        <v>30</v>
      </c>
      <c r="B183">
        <v>3</v>
      </c>
      <c r="C183">
        <v>17</v>
      </c>
      <c r="D183">
        <v>56.25</v>
      </c>
      <c r="E183">
        <v>0</v>
      </c>
      <c r="F183">
        <v>0</v>
      </c>
      <c r="G183">
        <v>1</v>
      </c>
      <c r="H183">
        <v>1</v>
      </c>
      <c r="I183">
        <v>0</v>
      </c>
      <c r="J183">
        <v>0</v>
      </c>
      <c r="K183" t="s">
        <v>9</v>
      </c>
      <c r="L183">
        <v>13</v>
      </c>
      <c r="M183">
        <v>130</v>
      </c>
      <c r="N183">
        <v>1</v>
      </c>
    </row>
    <row r="184" spans="1:14" x14ac:dyDescent="0.3">
      <c r="A184" t="s">
        <v>32</v>
      </c>
      <c r="B184">
        <v>3</v>
      </c>
      <c r="C184">
        <v>10</v>
      </c>
      <c r="D184">
        <v>44.5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 t="s">
        <v>9</v>
      </c>
      <c r="L184">
        <v>3</v>
      </c>
      <c r="M184">
        <v>130</v>
      </c>
      <c r="N184">
        <v>1</v>
      </c>
    </row>
    <row r="185" spans="1:14" x14ac:dyDescent="0.3">
      <c r="A185" t="s">
        <v>176</v>
      </c>
      <c r="B185">
        <v>3</v>
      </c>
      <c r="C185">
        <v>5</v>
      </c>
      <c r="D185">
        <v>25</v>
      </c>
      <c r="E185">
        <v>1</v>
      </c>
      <c r="F185">
        <v>1</v>
      </c>
      <c r="G185">
        <v>0</v>
      </c>
      <c r="H185">
        <v>0</v>
      </c>
      <c r="I185">
        <v>0</v>
      </c>
      <c r="J185">
        <v>1</v>
      </c>
      <c r="K185" t="s">
        <v>9</v>
      </c>
      <c r="L185">
        <v>1</v>
      </c>
      <c r="M185">
        <v>130</v>
      </c>
      <c r="N185">
        <v>1</v>
      </c>
    </row>
    <row r="186" spans="1:14" x14ac:dyDescent="0.3">
      <c r="A186" t="s">
        <v>36</v>
      </c>
      <c r="B186">
        <v>2</v>
      </c>
      <c r="C186">
        <v>48</v>
      </c>
      <c r="D186">
        <v>25.75</v>
      </c>
      <c r="E186">
        <v>0</v>
      </c>
      <c r="F186">
        <v>1</v>
      </c>
      <c r="G186">
        <v>0</v>
      </c>
      <c r="H186">
        <v>1</v>
      </c>
      <c r="I186">
        <v>0</v>
      </c>
      <c r="J186">
        <v>0</v>
      </c>
      <c r="K186" t="s">
        <v>9</v>
      </c>
      <c r="L186">
        <v>21</v>
      </c>
      <c r="M186">
        <v>130</v>
      </c>
      <c r="N186">
        <v>1</v>
      </c>
    </row>
    <row r="187" spans="1:14" x14ac:dyDescent="0.3">
      <c r="A187" t="s">
        <v>41</v>
      </c>
      <c r="B187">
        <v>3</v>
      </c>
      <c r="C187">
        <v>2</v>
      </c>
      <c r="D187">
        <v>25.5</v>
      </c>
      <c r="E187">
        <v>0</v>
      </c>
      <c r="F187">
        <v>1</v>
      </c>
      <c r="G187">
        <v>1</v>
      </c>
      <c r="H187">
        <v>0</v>
      </c>
      <c r="I187">
        <v>0</v>
      </c>
      <c r="J187">
        <v>0</v>
      </c>
      <c r="K187" t="s">
        <v>9</v>
      </c>
      <c r="L187">
        <v>2</v>
      </c>
      <c r="M187">
        <v>130</v>
      </c>
      <c r="N187">
        <v>1</v>
      </c>
    </row>
    <row r="188" spans="1:14" x14ac:dyDescent="0.3">
      <c r="A188" t="s">
        <v>42</v>
      </c>
      <c r="B188">
        <v>3</v>
      </c>
      <c r="C188">
        <v>12</v>
      </c>
      <c r="D188">
        <v>29.25</v>
      </c>
      <c r="E188">
        <v>1</v>
      </c>
      <c r="F188">
        <v>1</v>
      </c>
      <c r="G188">
        <v>0</v>
      </c>
      <c r="H188">
        <v>0</v>
      </c>
      <c r="I188">
        <v>0</v>
      </c>
      <c r="J188">
        <v>1</v>
      </c>
      <c r="K188" t="s">
        <v>9</v>
      </c>
      <c r="L188">
        <v>8</v>
      </c>
      <c r="M188">
        <v>130</v>
      </c>
      <c r="N188">
        <v>1</v>
      </c>
    </row>
    <row r="189" spans="1:14" x14ac:dyDescent="0.3">
      <c r="A189" t="s">
        <v>46</v>
      </c>
      <c r="B189">
        <v>1</v>
      </c>
      <c r="C189">
        <v>1</v>
      </c>
      <c r="D189">
        <v>60.75</v>
      </c>
      <c r="E189">
        <v>0</v>
      </c>
      <c r="F189">
        <v>0</v>
      </c>
      <c r="G189">
        <v>1</v>
      </c>
      <c r="H189">
        <v>0</v>
      </c>
      <c r="I189">
        <v>0</v>
      </c>
      <c r="J189">
        <v>0</v>
      </c>
      <c r="K189" t="s">
        <v>9</v>
      </c>
      <c r="L189">
        <v>18</v>
      </c>
      <c r="M189">
        <v>130</v>
      </c>
      <c r="N189">
        <v>1</v>
      </c>
    </row>
    <row r="190" spans="1:14" x14ac:dyDescent="0.3">
      <c r="A190" t="s">
        <v>47</v>
      </c>
      <c r="B190">
        <v>1</v>
      </c>
      <c r="C190">
        <v>3</v>
      </c>
      <c r="D190">
        <v>73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 t="s">
        <v>9</v>
      </c>
      <c r="L190">
        <v>1</v>
      </c>
      <c r="M190">
        <v>130</v>
      </c>
      <c r="N190">
        <v>1</v>
      </c>
    </row>
    <row r="191" spans="1:14" x14ac:dyDescent="0.3">
      <c r="A191" t="s">
        <v>57</v>
      </c>
      <c r="B191">
        <v>1</v>
      </c>
      <c r="C191">
        <v>10</v>
      </c>
      <c r="D191">
        <v>40.75</v>
      </c>
      <c r="E191">
        <v>0</v>
      </c>
      <c r="F191">
        <v>1</v>
      </c>
      <c r="G191">
        <v>0</v>
      </c>
      <c r="H191">
        <v>0</v>
      </c>
      <c r="I191">
        <v>0</v>
      </c>
      <c r="J191">
        <v>0</v>
      </c>
      <c r="K191" t="s">
        <v>9</v>
      </c>
      <c r="L191">
        <v>29</v>
      </c>
      <c r="M191">
        <v>130</v>
      </c>
      <c r="N191">
        <v>1</v>
      </c>
    </row>
    <row r="192" spans="1:14" x14ac:dyDescent="0.3">
      <c r="A192" t="s">
        <v>60</v>
      </c>
      <c r="B192">
        <v>3</v>
      </c>
      <c r="C192">
        <v>9</v>
      </c>
      <c r="D192">
        <v>37</v>
      </c>
      <c r="E192">
        <v>0</v>
      </c>
      <c r="F192">
        <v>1</v>
      </c>
      <c r="G192">
        <v>0</v>
      </c>
      <c r="H192">
        <v>0</v>
      </c>
      <c r="I192">
        <v>0</v>
      </c>
      <c r="J192">
        <v>0</v>
      </c>
      <c r="K192" t="s">
        <v>9</v>
      </c>
      <c r="L192">
        <v>2</v>
      </c>
      <c r="M192">
        <v>130</v>
      </c>
      <c r="N192">
        <v>1</v>
      </c>
    </row>
    <row r="193" spans="1:14" x14ac:dyDescent="0.3">
      <c r="A193" t="s">
        <v>62</v>
      </c>
      <c r="B193">
        <v>3</v>
      </c>
      <c r="C193">
        <v>7</v>
      </c>
      <c r="D193">
        <v>38</v>
      </c>
      <c r="E193">
        <v>0</v>
      </c>
      <c r="F193">
        <v>1</v>
      </c>
      <c r="G193">
        <v>1</v>
      </c>
      <c r="H193">
        <v>0</v>
      </c>
      <c r="I193">
        <v>0</v>
      </c>
      <c r="J193">
        <v>0</v>
      </c>
      <c r="K193" t="s">
        <v>9</v>
      </c>
      <c r="L193">
        <v>4</v>
      </c>
      <c r="M193">
        <v>130</v>
      </c>
      <c r="N193">
        <v>1</v>
      </c>
    </row>
    <row r="194" spans="1:14" x14ac:dyDescent="0.3">
      <c r="A194" t="s">
        <v>19</v>
      </c>
      <c r="B194">
        <v>2</v>
      </c>
      <c r="C194">
        <v>14</v>
      </c>
      <c r="D194">
        <v>28.25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 t="s">
        <v>10</v>
      </c>
      <c r="L194">
        <v>1</v>
      </c>
      <c r="M194">
        <v>1</v>
      </c>
      <c r="N194">
        <v>1</v>
      </c>
    </row>
    <row r="195" spans="1:14" x14ac:dyDescent="0.3">
      <c r="A195" t="s">
        <v>25</v>
      </c>
      <c r="B195">
        <v>3</v>
      </c>
      <c r="C195">
        <v>15</v>
      </c>
      <c r="D195">
        <v>46.5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 t="s">
        <v>10</v>
      </c>
      <c r="L195">
        <v>3</v>
      </c>
      <c r="M195">
        <v>1</v>
      </c>
      <c r="N195">
        <v>1</v>
      </c>
    </row>
    <row r="196" spans="1:14" x14ac:dyDescent="0.3">
      <c r="A196" t="s">
        <v>27</v>
      </c>
      <c r="B196">
        <v>3</v>
      </c>
      <c r="C196">
        <v>1</v>
      </c>
      <c r="D196">
        <v>59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 t="s">
        <v>10</v>
      </c>
      <c r="L196">
        <v>28</v>
      </c>
      <c r="M196">
        <v>1</v>
      </c>
      <c r="N196">
        <v>1</v>
      </c>
    </row>
    <row r="197" spans="1:14" x14ac:dyDescent="0.3">
      <c r="A197" t="s">
        <v>28</v>
      </c>
      <c r="B197">
        <v>1</v>
      </c>
      <c r="C197">
        <v>2</v>
      </c>
      <c r="D197">
        <v>58</v>
      </c>
      <c r="E197">
        <v>0</v>
      </c>
      <c r="F197">
        <v>0</v>
      </c>
      <c r="G197">
        <v>1</v>
      </c>
      <c r="H197">
        <v>1</v>
      </c>
      <c r="I197">
        <v>0</v>
      </c>
      <c r="J197">
        <v>0</v>
      </c>
      <c r="K197" t="s">
        <v>10</v>
      </c>
      <c r="L197">
        <v>5</v>
      </c>
      <c r="M197">
        <v>1</v>
      </c>
      <c r="N197">
        <v>1</v>
      </c>
    </row>
    <row r="198" spans="1:14" x14ac:dyDescent="0.3">
      <c r="A198" t="s">
        <v>29</v>
      </c>
      <c r="B198">
        <v>3</v>
      </c>
      <c r="C198">
        <v>4</v>
      </c>
      <c r="D198">
        <v>37.25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 t="s">
        <v>10</v>
      </c>
      <c r="L198">
        <v>2</v>
      </c>
      <c r="M198">
        <v>1</v>
      </c>
      <c r="N198">
        <v>1</v>
      </c>
    </row>
    <row r="199" spans="1:14" x14ac:dyDescent="0.3">
      <c r="A199" t="s">
        <v>30</v>
      </c>
      <c r="B199">
        <v>3</v>
      </c>
      <c r="C199">
        <v>17</v>
      </c>
      <c r="D199">
        <v>56.25</v>
      </c>
      <c r="E199">
        <v>0</v>
      </c>
      <c r="F199">
        <v>0</v>
      </c>
      <c r="G199">
        <v>1</v>
      </c>
      <c r="H199">
        <v>1</v>
      </c>
      <c r="I199">
        <v>0</v>
      </c>
      <c r="J199">
        <v>0</v>
      </c>
      <c r="K199" t="s">
        <v>10</v>
      </c>
      <c r="L199">
        <v>4</v>
      </c>
      <c r="M199">
        <v>1</v>
      </c>
      <c r="N199">
        <v>1</v>
      </c>
    </row>
    <row r="200" spans="1:14" x14ac:dyDescent="0.3">
      <c r="A200" t="s">
        <v>31</v>
      </c>
      <c r="B200">
        <v>3</v>
      </c>
      <c r="C200">
        <v>2</v>
      </c>
      <c r="D200">
        <v>43</v>
      </c>
      <c r="E200">
        <v>0</v>
      </c>
      <c r="F200">
        <v>1</v>
      </c>
      <c r="G200">
        <v>0</v>
      </c>
      <c r="H200">
        <v>0</v>
      </c>
      <c r="I200">
        <v>0</v>
      </c>
      <c r="J200">
        <v>0</v>
      </c>
      <c r="K200" t="s">
        <v>10</v>
      </c>
      <c r="L200">
        <v>2</v>
      </c>
      <c r="M200">
        <v>1</v>
      </c>
      <c r="N200">
        <v>1</v>
      </c>
    </row>
    <row r="201" spans="1:14" x14ac:dyDescent="0.3">
      <c r="A201" t="s">
        <v>32</v>
      </c>
      <c r="B201">
        <v>3</v>
      </c>
      <c r="C201">
        <v>10</v>
      </c>
      <c r="D201">
        <v>44.5</v>
      </c>
      <c r="E201">
        <v>0</v>
      </c>
      <c r="F201">
        <v>0</v>
      </c>
      <c r="G201">
        <v>1</v>
      </c>
      <c r="H201">
        <v>0</v>
      </c>
      <c r="I201">
        <v>0</v>
      </c>
      <c r="J201">
        <v>0</v>
      </c>
      <c r="K201" t="s">
        <v>10</v>
      </c>
      <c r="L201">
        <v>7</v>
      </c>
      <c r="M201">
        <v>1</v>
      </c>
      <c r="N201">
        <v>1</v>
      </c>
    </row>
    <row r="202" spans="1:14" x14ac:dyDescent="0.3">
      <c r="A202" t="s">
        <v>176</v>
      </c>
      <c r="B202">
        <v>3</v>
      </c>
      <c r="C202">
        <v>5</v>
      </c>
      <c r="D202">
        <v>25</v>
      </c>
      <c r="E202">
        <v>1</v>
      </c>
      <c r="F202">
        <v>1</v>
      </c>
      <c r="G202">
        <v>0</v>
      </c>
      <c r="H202">
        <v>0</v>
      </c>
      <c r="I202">
        <v>0</v>
      </c>
      <c r="J202">
        <v>1</v>
      </c>
      <c r="K202" t="s">
        <v>10</v>
      </c>
      <c r="L202">
        <v>9</v>
      </c>
      <c r="M202">
        <v>1</v>
      </c>
      <c r="N202">
        <v>1</v>
      </c>
    </row>
    <row r="203" spans="1:14" x14ac:dyDescent="0.3">
      <c r="A203" t="s">
        <v>36</v>
      </c>
      <c r="B203">
        <v>2</v>
      </c>
      <c r="C203">
        <v>48</v>
      </c>
      <c r="D203">
        <v>25.75</v>
      </c>
      <c r="E203">
        <v>0</v>
      </c>
      <c r="F203">
        <v>1</v>
      </c>
      <c r="G203">
        <v>0</v>
      </c>
      <c r="H203">
        <v>1</v>
      </c>
      <c r="I203">
        <v>0</v>
      </c>
      <c r="J203">
        <v>0</v>
      </c>
      <c r="K203" t="s">
        <v>10</v>
      </c>
      <c r="L203">
        <v>2</v>
      </c>
      <c r="M203">
        <v>1</v>
      </c>
      <c r="N203">
        <v>1</v>
      </c>
    </row>
    <row r="204" spans="1:14" x14ac:dyDescent="0.3">
      <c r="A204" t="s">
        <v>39</v>
      </c>
      <c r="B204">
        <v>3</v>
      </c>
      <c r="C204">
        <v>10</v>
      </c>
      <c r="D204">
        <v>25</v>
      </c>
      <c r="E204">
        <v>0</v>
      </c>
      <c r="F204">
        <v>1</v>
      </c>
      <c r="G204">
        <v>0</v>
      </c>
      <c r="H204">
        <v>0</v>
      </c>
      <c r="I204">
        <v>0</v>
      </c>
      <c r="J204">
        <v>0</v>
      </c>
      <c r="K204" t="s">
        <v>10</v>
      </c>
      <c r="L204">
        <v>2</v>
      </c>
      <c r="M204">
        <v>1</v>
      </c>
      <c r="N204">
        <v>1</v>
      </c>
    </row>
    <row r="205" spans="1:14" x14ac:dyDescent="0.3">
      <c r="A205" t="s">
        <v>41</v>
      </c>
      <c r="B205">
        <v>3</v>
      </c>
      <c r="C205">
        <v>2</v>
      </c>
      <c r="D205">
        <v>25.5</v>
      </c>
      <c r="E205">
        <v>0</v>
      </c>
      <c r="F205">
        <v>1</v>
      </c>
      <c r="G205">
        <v>1</v>
      </c>
      <c r="H205">
        <v>0</v>
      </c>
      <c r="I205">
        <v>0</v>
      </c>
      <c r="J205">
        <v>0</v>
      </c>
      <c r="K205" t="s">
        <v>10</v>
      </c>
      <c r="L205">
        <v>3</v>
      </c>
      <c r="M205">
        <v>1</v>
      </c>
      <c r="N205">
        <v>1</v>
      </c>
    </row>
    <row r="206" spans="1:14" x14ac:dyDescent="0.3">
      <c r="A206" t="s">
        <v>42</v>
      </c>
      <c r="B206">
        <v>3</v>
      </c>
      <c r="C206">
        <v>12</v>
      </c>
      <c r="D206">
        <v>29.25</v>
      </c>
      <c r="E206">
        <v>1</v>
      </c>
      <c r="F206">
        <v>1</v>
      </c>
      <c r="G206">
        <v>0</v>
      </c>
      <c r="H206">
        <v>0</v>
      </c>
      <c r="I206">
        <v>0</v>
      </c>
      <c r="J206">
        <v>1</v>
      </c>
      <c r="K206" t="s">
        <v>10</v>
      </c>
      <c r="L206">
        <v>54</v>
      </c>
      <c r="M206">
        <v>1</v>
      </c>
      <c r="N206">
        <v>1</v>
      </c>
    </row>
    <row r="207" spans="1:14" x14ac:dyDescent="0.3">
      <c r="A207" t="s">
        <v>55</v>
      </c>
      <c r="B207">
        <v>2</v>
      </c>
      <c r="C207">
        <v>2</v>
      </c>
      <c r="D207">
        <v>44.5</v>
      </c>
      <c r="E207">
        <v>0</v>
      </c>
      <c r="F207">
        <v>0</v>
      </c>
      <c r="G207">
        <v>0</v>
      </c>
      <c r="H207">
        <v>0</v>
      </c>
      <c r="I207">
        <v>1</v>
      </c>
      <c r="J207">
        <v>0</v>
      </c>
      <c r="K207" t="s">
        <v>10</v>
      </c>
      <c r="L207">
        <v>1</v>
      </c>
      <c r="M207">
        <v>1</v>
      </c>
      <c r="N207">
        <v>1</v>
      </c>
    </row>
    <row r="208" spans="1:14" x14ac:dyDescent="0.3">
      <c r="A208" t="s">
        <v>56</v>
      </c>
      <c r="B208">
        <v>3</v>
      </c>
      <c r="C208">
        <v>1</v>
      </c>
      <c r="D208">
        <v>50</v>
      </c>
      <c r="E208">
        <v>0</v>
      </c>
      <c r="F208">
        <v>0</v>
      </c>
      <c r="G208">
        <v>0</v>
      </c>
      <c r="H208">
        <v>1</v>
      </c>
      <c r="I208">
        <v>0</v>
      </c>
      <c r="J208">
        <v>0</v>
      </c>
      <c r="K208" t="s">
        <v>10</v>
      </c>
      <c r="L208">
        <v>1</v>
      </c>
      <c r="M208">
        <v>1</v>
      </c>
      <c r="N208">
        <v>1</v>
      </c>
    </row>
    <row r="209" spans="1:14" x14ac:dyDescent="0.3">
      <c r="A209" t="s">
        <v>57</v>
      </c>
      <c r="B209">
        <v>1</v>
      </c>
      <c r="C209">
        <v>10</v>
      </c>
      <c r="D209">
        <v>40.75</v>
      </c>
      <c r="E209">
        <v>0</v>
      </c>
      <c r="F209">
        <v>1</v>
      </c>
      <c r="G209">
        <v>0</v>
      </c>
      <c r="H209">
        <v>0</v>
      </c>
      <c r="I209">
        <v>0</v>
      </c>
      <c r="J209">
        <v>0</v>
      </c>
      <c r="K209" t="s">
        <v>10</v>
      </c>
      <c r="L209">
        <v>6</v>
      </c>
      <c r="M209">
        <v>1</v>
      </c>
      <c r="N209">
        <v>1</v>
      </c>
    </row>
    <row r="210" spans="1:14" x14ac:dyDescent="0.3">
      <c r="A210" t="s">
        <v>65</v>
      </c>
      <c r="B210">
        <v>3</v>
      </c>
      <c r="C210">
        <v>7</v>
      </c>
      <c r="D210">
        <v>53.5</v>
      </c>
      <c r="E210">
        <v>0</v>
      </c>
      <c r="F210">
        <v>0</v>
      </c>
      <c r="G210">
        <v>1</v>
      </c>
      <c r="H210">
        <v>0</v>
      </c>
      <c r="I210">
        <v>0</v>
      </c>
      <c r="J210">
        <v>0</v>
      </c>
      <c r="K210" t="s">
        <v>10</v>
      </c>
      <c r="L210">
        <v>3</v>
      </c>
      <c r="M210">
        <v>1</v>
      </c>
      <c r="N210">
        <v>1</v>
      </c>
    </row>
    <row r="211" spans="1:14" x14ac:dyDescent="0.3">
      <c r="A211" t="s">
        <v>23</v>
      </c>
      <c r="B211">
        <v>2</v>
      </c>
      <c r="C211">
        <v>4</v>
      </c>
      <c r="D211">
        <v>24</v>
      </c>
      <c r="E211">
        <v>0</v>
      </c>
      <c r="F211">
        <v>1</v>
      </c>
      <c r="G211">
        <v>0</v>
      </c>
      <c r="H211">
        <v>0</v>
      </c>
      <c r="I211">
        <v>0</v>
      </c>
      <c r="J211">
        <v>0</v>
      </c>
      <c r="K211" t="s">
        <v>11</v>
      </c>
      <c r="L211">
        <v>1</v>
      </c>
      <c r="M211">
        <v>1</v>
      </c>
      <c r="N211">
        <v>1</v>
      </c>
    </row>
    <row r="212" spans="1:14" x14ac:dyDescent="0.3">
      <c r="A212" t="s">
        <v>27</v>
      </c>
      <c r="B212">
        <v>3</v>
      </c>
      <c r="C212">
        <v>1</v>
      </c>
      <c r="D212">
        <v>59</v>
      </c>
      <c r="E212">
        <v>0</v>
      </c>
      <c r="F212">
        <v>0</v>
      </c>
      <c r="G212">
        <v>0</v>
      </c>
      <c r="H212">
        <v>1</v>
      </c>
      <c r="I212">
        <v>0</v>
      </c>
      <c r="J212">
        <v>0</v>
      </c>
      <c r="K212" t="s">
        <v>11</v>
      </c>
      <c r="L212">
        <v>4</v>
      </c>
      <c r="M212">
        <v>1</v>
      </c>
      <c r="N212">
        <v>1</v>
      </c>
    </row>
    <row r="213" spans="1:14" x14ac:dyDescent="0.3">
      <c r="A213" t="s">
        <v>30</v>
      </c>
      <c r="B213">
        <v>3</v>
      </c>
      <c r="C213">
        <v>17</v>
      </c>
      <c r="D213">
        <v>56.25</v>
      </c>
      <c r="E213">
        <v>0</v>
      </c>
      <c r="F213">
        <v>0</v>
      </c>
      <c r="G213">
        <v>1</v>
      </c>
      <c r="H213">
        <v>1</v>
      </c>
      <c r="I213">
        <v>0</v>
      </c>
      <c r="J213">
        <v>0</v>
      </c>
      <c r="K213" t="s">
        <v>11</v>
      </c>
      <c r="L213">
        <v>2</v>
      </c>
      <c r="M213">
        <v>1</v>
      </c>
      <c r="N213">
        <v>1</v>
      </c>
    </row>
    <row r="214" spans="1:14" x14ac:dyDescent="0.3">
      <c r="A214" t="s">
        <v>32</v>
      </c>
      <c r="B214">
        <v>3</v>
      </c>
      <c r="C214">
        <v>10</v>
      </c>
      <c r="D214">
        <v>44.5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 t="s">
        <v>11</v>
      </c>
      <c r="L214">
        <v>1</v>
      </c>
      <c r="M214">
        <v>1</v>
      </c>
      <c r="N214">
        <v>1</v>
      </c>
    </row>
    <row r="215" spans="1:14" x14ac:dyDescent="0.3">
      <c r="A215" t="s">
        <v>41</v>
      </c>
      <c r="B215">
        <v>3</v>
      </c>
      <c r="C215">
        <v>2</v>
      </c>
      <c r="D215">
        <v>25.5</v>
      </c>
      <c r="E215">
        <v>0</v>
      </c>
      <c r="F215">
        <v>1</v>
      </c>
      <c r="G215">
        <v>1</v>
      </c>
      <c r="H215">
        <v>0</v>
      </c>
      <c r="I215">
        <v>0</v>
      </c>
      <c r="J215">
        <v>0</v>
      </c>
      <c r="K215" t="s">
        <v>11</v>
      </c>
      <c r="L215">
        <v>2</v>
      </c>
      <c r="M215">
        <v>1</v>
      </c>
      <c r="N215">
        <v>1</v>
      </c>
    </row>
    <row r="216" spans="1:14" x14ac:dyDescent="0.3">
      <c r="A216" t="s">
        <v>42</v>
      </c>
      <c r="B216">
        <v>3</v>
      </c>
      <c r="C216">
        <v>12</v>
      </c>
      <c r="D216">
        <v>29.25</v>
      </c>
      <c r="E216">
        <v>1</v>
      </c>
      <c r="F216">
        <v>1</v>
      </c>
      <c r="G216">
        <v>0</v>
      </c>
      <c r="H216">
        <v>0</v>
      </c>
      <c r="I216">
        <v>0</v>
      </c>
      <c r="J216">
        <v>1</v>
      </c>
      <c r="K216" t="s">
        <v>11</v>
      </c>
      <c r="L216">
        <v>2</v>
      </c>
      <c r="M216">
        <v>1</v>
      </c>
      <c r="N216">
        <v>1</v>
      </c>
    </row>
    <row r="217" spans="1:14" x14ac:dyDescent="0.3">
      <c r="A217" t="s">
        <v>46</v>
      </c>
      <c r="B217">
        <v>1</v>
      </c>
      <c r="C217">
        <v>1</v>
      </c>
      <c r="D217">
        <v>60.75</v>
      </c>
      <c r="E217">
        <v>0</v>
      </c>
      <c r="F217">
        <v>0</v>
      </c>
      <c r="G217">
        <v>1</v>
      </c>
      <c r="H217">
        <v>0</v>
      </c>
      <c r="I217">
        <v>0</v>
      </c>
      <c r="J217">
        <v>0</v>
      </c>
      <c r="K217" t="s">
        <v>11</v>
      </c>
      <c r="L217">
        <v>1</v>
      </c>
      <c r="M217">
        <v>1</v>
      </c>
      <c r="N217">
        <v>1</v>
      </c>
    </row>
    <row r="218" spans="1:14" x14ac:dyDescent="0.3">
      <c r="A218" t="s">
        <v>57</v>
      </c>
      <c r="B218">
        <v>1</v>
      </c>
      <c r="C218">
        <v>10</v>
      </c>
      <c r="D218">
        <v>40.75</v>
      </c>
      <c r="E218">
        <v>0</v>
      </c>
      <c r="F218">
        <v>1</v>
      </c>
      <c r="G218">
        <v>0</v>
      </c>
      <c r="H218">
        <v>0</v>
      </c>
      <c r="I218">
        <v>0</v>
      </c>
      <c r="J218">
        <v>0</v>
      </c>
      <c r="K218" t="s">
        <v>11</v>
      </c>
      <c r="L218">
        <v>11</v>
      </c>
      <c r="M218">
        <v>1</v>
      </c>
      <c r="N218">
        <v>1</v>
      </c>
    </row>
    <row r="219" spans="1:14" x14ac:dyDescent="0.3">
      <c r="A219" t="s">
        <v>65</v>
      </c>
      <c r="B219">
        <v>3</v>
      </c>
      <c r="C219">
        <v>7</v>
      </c>
      <c r="D219">
        <v>53.5</v>
      </c>
      <c r="E219">
        <v>0</v>
      </c>
      <c r="F219">
        <v>0</v>
      </c>
      <c r="G219">
        <v>1</v>
      </c>
      <c r="H219">
        <v>0</v>
      </c>
      <c r="I219">
        <v>0</v>
      </c>
      <c r="J219">
        <v>0</v>
      </c>
      <c r="K219" t="s">
        <v>11</v>
      </c>
      <c r="L219">
        <v>1</v>
      </c>
      <c r="M219">
        <v>1</v>
      </c>
      <c r="N219">
        <v>1</v>
      </c>
    </row>
    <row r="220" spans="1:14" x14ac:dyDescent="0.3">
      <c r="A220" t="s">
        <v>17</v>
      </c>
      <c r="B220">
        <v>3</v>
      </c>
      <c r="C220">
        <v>12</v>
      </c>
      <c r="D220">
        <v>72.5</v>
      </c>
      <c r="E220">
        <v>0</v>
      </c>
      <c r="F220">
        <v>1</v>
      </c>
      <c r="G220">
        <v>1</v>
      </c>
      <c r="H220">
        <v>0</v>
      </c>
      <c r="I220">
        <v>0</v>
      </c>
      <c r="J220">
        <v>0</v>
      </c>
      <c r="K220" t="s">
        <v>12</v>
      </c>
      <c r="L220">
        <v>1</v>
      </c>
      <c r="M220">
        <v>20</v>
      </c>
      <c r="N220">
        <v>0</v>
      </c>
    </row>
    <row r="221" spans="1:14" x14ac:dyDescent="0.3">
      <c r="A221" t="s">
        <v>27</v>
      </c>
      <c r="B221">
        <v>3</v>
      </c>
      <c r="C221">
        <v>1</v>
      </c>
      <c r="D221">
        <v>59</v>
      </c>
      <c r="E221">
        <v>0</v>
      </c>
      <c r="F221">
        <v>0</v>
      </c>
      <c r="G221">
        <v>0</v>
      </c>
      <c r="H221">
        <v>1</v>
      </c>
      <c r="I221">
        <v>0</v>
      </c>
      <c r="J221">
        <v>0</v>
      </c>
      <c r="K221" t="s">
        <v>12</v>
      </c>
      <c r="L221">
        <v>91</v>
      </c>
      <c r="M221">
        <v>20</v>
      </c>
      <c r="N221">
        <v>0</v>
      </c>
    </row>
    <row r="222" spans="1:14" x14ac:dyDescent="0.3">
      <c r="A222" t="s">
        <v>30</v>
      </c>
      <c r="B222">
        <v>3</v>
      </c>
      <c r="C222">
        <v>17</v>
      </c>
      <c r="D222">
        <v>56.25</v>
      </c>
      <c r="E222">
        <v>0</v>
      </c>
      <c r="F222">
        <v>0</v>
      </c>
      <c r="G222">
        <v>1</v>
      </c>
      <c r="H222">
        <v>1</v>
      </c>
      <c r="I222">
        <v>0</v>
      </c>
      <c r="J222">
        <v>0</v>
      </c>
      <c r="K222" t="s">
        <v>12</v>
      </c>
      <c r="L222">
        <v>47</v>
      </c>
      <c r="M222">
        <v>20</v>
      </c>
      <c r="N222">
        <v>0</v>
      </c>
    </row>
    <row r="223" spans="1:14" x14ac:dyDescent="0.3">
      <c r="A223" t="s">
        <v>32</v>
      </c>
      <c r="B223">
        <v>3</v>
      </c>
      <c r="C223">
        <v>10</v>
      </c>
      <c r="D223">
        <v>44.5</v>
      </c>
      <c r="E223">
        <v>0</v>
      </c>
      <c r="F223">
        <v>0</v>
      </c>
      <c r="G223">
        <v>1</v>
      </c>
      <c r="H223">
        <v>0</v>
      </c>
      <c r="I223">
        <v>0</v>
      </c>
      <c r="J223">
        <v>0</v>
      </c>
      <c r="K223" t="s">
        <v>12</v>
      </c>
      <c r="L223">
        <v>5</v>
      </c>
      <c r="M223">
        <v>20</v>
      </c>
      <c r="N223">
        <v>0</v>
      </c>
    </row>
    <row r="224" spans="1:14" x14ac:dyDescent="0.3">
      <c r="A224" t="s">
        <v>35</v>
      </c>
      <c r="B224">
        <v>3</v>
      </c>
      <c r="C224">
        <v>2</v>
      </c>
      <c r="D224">
        <v>23.5</v>
      </c>
      <c r="E224">
        <v>0</v>
      </c>
      <c r="F224">
        <v>0</v>
      </c>
      <c r="G224">
        <v>1</v>
      </c>
      <c r="H224">
        <v>0</v>
      </c>
      <c r="I224">
        <v>0</v>
      </c>
      <c r="J224">
        <v>0</v>
      </c>
      <c r="K224" t="s">
        <v>12</v>
      </c>
      <c r="L224">
        <v>3</v>
      </c>
      <c r="M224">
        <v>20</v>
      </c>
      <c r="N224">
        <v>0</v>
      </c>
    </row>
    <row r="225" spans="1:14" x14ac:dyDescent="0.3">
      <c r="A225" t="s">
        <v>42</v>
      </c>
      <c r="B225">
        <v>3</v>
      </c>
      <c r="C225">
        <v>12</v>
      </c>
      <c r="D225">
        <v>29.25</v>
      </c>
      <c r="E225">
        <v>1</v>
      </c>
      <c r="F225">
        <v>1</v>
      </c>
      <c r="G225">
        <v>0</v>
      </c>
      <c r="H225">
        <v>0</v>
      </c>
      <c r="I225">
        <v>0</v>
      </c>
      <c r="J225">
        <v>1</v>
      </c>
      <c r="K225" t="s">
        <v>12</v>
      </c>
      <c r="L225">
        <v>1</v>
      </c>
      <c r="M225">
        <v>20</v>
      </c>
      <c r="N225">
        <v>0</v>
      </c>
    </row>
    <row r="226" spans="1:14" x14ac:dyDescent="0.3">
      <c r="A226" t="s">
        <v>55</v>
      </c>
      <c r="B226">
        <v>2</v>
      </c>
      <c r="C226">
        <v>2</v>
      </c>
      <c r="D226">
        <v>44.5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0</v>
      </c>
      <c r="K226" t="s">
        <v>12</v>
      </c>
      <c r="L226">
        <v>2</v>
      </c>
      <c r="M226">
        <v>20</v>
      </c>
      <c r="N226">
        <v>0</v>
      </c>
    </row>
    <row r="227" spans="1:14" x14ac:dyDescent="0.3">
      <c r="A227" t="s">
        <v>56</v>
      </c>
      <c r="B227">
        <v>3</v>
      </c>
      <c r="C227">
        <v>1</v>
      </c>
      <c r="D227">
        <v>50</v>
      </c>
      <c r="E227">
        <v>0</v>
      </c>
      <c r="F227">
        <v>0</v>
      </c>
      <c r="G227">
        <v>0</v>
      </c>
      <c r="H227">
        <v>1</v>
      </c>
      <c r="I227">
        <v>0</v>
      </c>
      <c r="J227">
        <v>0</v>
      </c>
      <c r="K227" t="s">
        <v>12</v>
      </c>
      <c r="L227">
        <v>1</v>
      </c>
      <c r="M227">
        <v>20</v>
      </c>
      <c r="N227">
        <v>0</v>
      </c>
    </row>
    <row r="228" spans="1:14" x14ac:dyDescent="0.3">
      <c r="A228" t="s">
        <v>57</v>
      </c>
      <c r="B228">
        <v>1</v>
      </c>
      <c r="C228">
        <v>10</v>
      </c>
      <c r="D228">
        <v>40.75</v>
      </c>
      <c r="E228">
        <v>0</v>
      </c>
      <c r="F228">
        <v>1</v>
      </c>
      <c r="G228">
        <v>0</v>
      </c>
      <c r="H228">
        <v>0</v>
      </c>
      <c r="I228">
        <v>0</v>
      </c>
      <c r="J228">
        <v>0</v>
      </c>
      <c r="K228" t="s">
        <v>12</v>
      </c>
      <c r="L228">
        <v>12</v>
      </c>
      <c r="M228">
        <v>20</v>
      </c>
      <c r="N228">
        <v>0</v>
      </c>
    </row>
    <row r="229" spans="1:14" x14ac:dyDescent="0.3">
      <c r="A229" t="s">
        <v>62</v>
      </c>
      <c r="B229">
        <v>3</v>
      </c>
      <c r="C229">
        <v>7</v>
      </c>
      <c r="D229">
        <v>38</v>
      </c>
      <c r="E229">
        <v>0</v>
      </c>
      <c r="F229">
        <v>1</v>
      </c>
      <c r="G229">
        <v>1</v>
      </c>
      <c r="H229">
        <v>0</v>
      </c>
      <c r="I229">
        <v>0</v>
      </c>
      <c r="J229">
        <v>0</v>
      </c>
      <c r="K229" t="s">
        <v>12</v>
      </c>
      <c r="L229">
        <v>1</v>
      </c>
      <c r="M229">
        <v>20</v>
      </c>
      <c r="N229">
        <v>0</v>
      </c>
    </row>
    <row r="230" spans="1:14" x14ac:dyDescent="0.3">
      <c r="A230" t="s">
        <v>64</v>
      </c>
      <c r="B230">
        <v>3</v>
      </c>
      <c r="C230">
        <v>3</v>
      </c>
      <c r="D230">
        <v>56.25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 t="s">
        <v>12</v>
      </c>
      <c r="L230">
        <v>2</v>
      </c>
      <c r="M230">
        <v>20</v>
      </c>
      <c r="N230">
        <v>0</v>
      </c>
    </row>
    <row r="231" spans="1:14" x14ac:dyDescent="0.3">
      <c r="A231" t="s">
        <v>65</v>
      </c>
      <c r="B231">
        <v>3</v>
      </c>
      <c r="C231">
        <v>7</v>
      </c>
      <c r="D231">
        <v>53.5</v>
      </c>
      <c r="E231">
        <v>0</v>
      </c>
      <c r="F231">
        <v>0</v>
      </c>
      <c r="G231">
        <v>1</v>
      </c>
      <c r="H231">
        <v>0</v>
      </c>
      <c r="I231">
        <v>0</v>
      </c>
      <c r="J231">
        <v>0</v>
      </c>
      <c r="K231" t="s">
        <v>12</v>
      </c>
      <c r="L231">
        <v>3</v>
      </c>
      <c r="M231">
        <v>20</v>
      </c>
      <c r="N231">
        <v>0</v>
      </c>
    </row>
    <row r="232" spans="1:14" x14ac:dyDescent="0.3">
      <c r="A232" t="s">
        <v>15</v>
      </c>
      <c r="B232">
        <v>3</v>
      </c>
      <c r="C232">
        <v>1</v>
      </c>
      <c r="D232">
        <v>73.5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 t="s">
        <v>13</v>
      </c>
      <c r="L232">
        <v>2</v>
      </c>
      <c r="M232">
        <v>160</v>
      </c>
      <c r="N232">
        <v>1</v>
      </c>
    </row>
    <row r="233" spans="1:14" x14ac:dyDescent="0.3">
      <c r="A233" t="s">
        <v>25</v>
      </c>
      <c r="B233">
        <v>3</v>
      </c>
      <c r="C233">
        <v>15</v>
      </c>
      <c r="D233">
        <v>46.5</v>
      </c>
      <c r="E233">
        <v>0</v>
      </c>
      <c r="F233">
        <v>0</v>
      </c>
      <c r="G233">
        <v>1</v>
      </c>
      <c r="H233">
        <v>0</v>
      </c>
      <c r="I233">
        <v>0</v>
      </c>
      <c r="J233">
        <v>0</v>
      </c>
      <c r="K233" t="s">
        <v>13</v>
      </c>
      <c r="L233">
        <v>1</v>
      </c>
      <c r="M233">
        <v>160</v>
      </c>
      <c r="N233">
        <v>1</v>
      </c>
    </row>
    <row r="234" spans="1:14" x14ac:dyDescent="0.3">
      <c r="A234" t="s">
        <v>27</v>
      </c>
      <c r="B234">
        <v>3</v>
      </c>
      <c r="C234">
        <v>1</v>
      </c>
      <c r="D234">
        <v>59</v>
      </c>
      <c r="E234">
        <v>0</v>
      </c>
      <c r="F234">
        <v>0</v>
      </c>
      <c r="G234">
        <v>0</v>
      </c>
      <c r="H234">
        <v>1</v>
      </c>
      <c r="I234">
        <v>0</v>
      </c>
      <c r="J234">
        <v>0</v>
      </c>
      <c r="K234" t="s">
        <v>13</v>
      </c>
      <c r="L234">
        <v>163</v>
      </c>
      <c r="M234">
        <v>160</v>
      </c>
      <c r="N234">
        <v>1</v>
      </c>
    </row>
    <row r="235" spans="1:14" x14ac:dyDescent="0.3">
      <c r="A235" t="s">
        <v>30</v>
      </c>
      <c r="B235">
        <v>3</v>
      </c>
      <c r="C235">
        <v>17</v>
      </c>
      <c r="D235">
        <v>56.25</v>
      </c>
      <c r="E235">
        <v>0</v>
      </c>
      <c r="F235">
        <v>0</v>
      </c>
      <c r="G235">
        <v>1</v>
      </c>
      <c r="H235">
        <v>1</v>
      </c>
      <c r="I235">
        <v>0</v>
      </c>
      <c r="J235">
        <v>0</v>
      </c>
      <c r="K235" t="s">
        <v>13</v>
      </c>
      <c r="L235">
        <v>3</v>
      </c>
      <c r="M235">
        <v>160</v>
      </c>
      <c r="N235">
        <v>1</v>
      </c>
    </row>
    <row r="236" spans="1:14" x14ac:dyDescent="0.3">
      <c r="A236" t="s">
        <v>32</v>
      </c>
      <c r="B236">
        <v>3</v>
      </c>
      <c r="C236">
        <v>10</v>
      </c>
      <c r="D236">
        <v>44.5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 t="s">
        <v>13</v>
      </c>
      <c r="L236">
        <v>5</v>
      </c>
      <c r="M236">
        <v>160</v>
      </c>
      <c r="N236">
        <v>1</v>
      </c>
    </row>
    <row r="237" spans="1:14" x14ac:dyDescent="0.3">
      <c r="A237" t="s">
        <v>176</v>
      </c>
      <c r="B237">
        <v>3</v>
      </c>
      <c r="C237">
        <v>5</v>
      </c>
      <c r="D237">
        <v>25</v>
      </c>
      <c r="E237">
        <v>1</v>
      </c>
      <c r="F237">
        <v>1</v>
      </c>
      <c r="G237">
        <v>0</v>
      </c>
      <c r="H237">
        <v>0</v>
      </c>
      <c r="I237">
        <v>0</v>
      </c>
      <c r="J237">
        <v>1</v>
      </c>
      <c r="K237" t="s">
        <v>13</v>
      </c>
      <c r="L237">
        <v>1</v>
      </c>
      <c r="M237">
        <v>160</v>
      </c>
      <c r="N237">
        <v>1</v>
      </c>
    </row>
    <row r="238" spans="1:14" x14ac:dyDescent="0.3">
      <c r="A238" t="s">
        <v>35</v>
      </c>
      <c r="B238">
        <v>3</v>
      </c>
      <c r="C238">
        <v>2</v>
      </c>
      <c r="D238">
        <v>23.5</v>
      </c>
      <c r="E238">
        <v>0</v>
      </c>
      <c r="F238">
        <v>0</v>
      </c>
      <c r="G238">
        <v>1</v>
      </c>
      <c r="H238">
        <v>0</v>
      </c>
      <c r="I238">
        <v>0</v>
      </c>
      <c r="J238">
        <v>0</v>
      </c>
      <c r="K238" t="s">
        <v>13</v>
      </c>
      <c r="L238">
        <v>2</v>
      </c>
      <c r="M238">
        <v>160</v>
      </c>
      <c r="N238">
        <v>1</v>
      </c>
    </row>
    <row r="239" spans="1:14" x14ac:dyDescent="0.3">
      <c r="A239" t="s">
        <v>39</v>
      </c>
      <c r="B239">
        <v>3</v>
      </c>
      <c r="C239">
        <v>10</v>
      </c>
      <c r="D239">
        <v>25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 t="s">
        <v>13</v>
      </c>
      <c r="L239">
        <v>2</v>
      </c>
      <c r="M239">
        <v>160</v>
      </c>
      <c r="N239">
        <v>1</v>
      </c>
    </row>
    <row r="240" spans="1:14" x14ac:dyDescent="0.3">
      <c r="A240" t="s">
        <v>41</v>
      </c>
      <c r="B240">
        <v>3</v>
      </c>
      <c r="C240">
        <v>2</v>
      </c>
      <c r="D240">
        <v>25.5</v>
      </c>
      <c r="E240">
        <v>0</v>
      </c>
      <c r="F240">
        <v>1</v>
      </c>
      <c r="G240">
        <v>1</v>
      </c>
      <c r="H240">
        <v>0</v>
      </c>
      <c r="I240">
        <v>0</v>
      </c>
      <c r="J240">
        <v>0</v>
      </c>
      <c r="K240" t="s">
        <v>13</v>
      </c>
      <c r="L240">
        <v>1</v>
      </c>
      <c r="M240">
        <v>160</v>
      </c>
      <c r="N240">
        <v>1</v>
      </c>
    </row>
    <row r="241" spans="1:14" x14ac:dyDescent="0.3">
      <c r="A241" t="s">
        <v>42</v>
      </c>
      <c r="B241">
        <v>3</v>
      </c>
      <c r="C241">
        <v>12</v>
      </c>
      <c r="D241">
        <v>29.25</v>
      </c>
      <c r="E241">
        <v>1</v>
      </c>
      <c r="F241">
        <v>1</v>
      </c>
      <c r="G241">
        <v>0</v>
      </c>
      <c r="H241">
        <v>0</v>
      </c>
      <c r="I241">
        <v>0</v>
      </c>
      <c r="J241">
        <v>1</v>
      </c>
      <c r="K241" t="s">
        <v>13</v>
      </c>
      <c r="L241">
        <v>2</v>
      </c>
      <c r="M241">
        <v>160</v>
      </c>
      <c r="N241">
        <v>1</v>
      </c>
    </row>
    <row r="242" spans="1:14" x14ac:dyDescent="0.3">
      <c r="A242" t="s">
        <v>46</v>
      </c>
      <c r="B242">
        <v>1</v>
      </c>
      <c r="C242">
        <v>1</v>
      </c>
      <c r="D242">
        <v>60.75</v>
      </c>
      <c r="E242">
        <v>0</v>
      </c>
      <c r="F242">
        <v>0</v>
      </c>
      <c r="G242">
        <v>1</v>
      </c>
      <c r="H242">
        <v>0</v>
      </c>
      <c r="I242">
        <v>0</v>
      </c>
      <c r="J242">
        <v>0</v>
      </c>
      <c r="K242" t="s">
        <v>13</v>
      </c>
      <c r="L242">
        <v>3</v>
      </c>
      <c r="M242">
        <v>160</v>
      </c>
      <c r="N242">
        <v>1</v>
      </c>
    </row>
    <row r="243" spans="1:14" x14ac:dyDescent="0.3">
      <c r="A243" t="s">
        <v>48</v>
      </c>
      <c r="B243">
        <v>2</v>
      </c>
      <c r="C243">
        <v>6</v>
      </c>
      <c r="D243">
        <v>79.5</v>
      </c>
      <c r="E243">
        <v>0</v>
      </c>
      <c r="F243">
        <v>0</v>
      </c>
      <c r="G243">
        <v>0</v>
      </c>
      <c r="H243">
        <v>1</v>
      </c>
      <c r="I243">
        <v>1</v>
      </c>
      <c r="J243">
        <v>0</v>
      </c>
      <c r="K243" t="s">
        <v>13</v>
      </c>
      <c r="L243">
        <v>1</v>
      </c>
      <c r="M243">
        <v>160</v>
      </c>
      <c r="N243">
        <v>1</v>
      </c>
    </row>
    <row r="244" spans="1:14" x14ac:dyDescent="0.3">
      <c r="A244" t="s">
        <v>54</v>
      </c>
      <c r="B244">
        <v>3</v>
      </c>
      <c r="C244">
        <v>7</v>
      </c>
      <c r="D244">
        <v>42.5</v>
      </c>
      <c r="E244">
        <v>0</v>
      </c>
      <c r="F244">
        <v>1</v>
      </c>
      <c r="G244">
        <v>1</v>
      </c>
      <c r="H244">
        <v>0</v>
      </c>
      <c r="I244">
        <v>0</v>
      </c>
      <c r="J244">
        <v>0</v>
      </c>
      <c r="K244" t="s">
        <v>13</v>
      </c>
      <c r="L244">
        <v>1</v>
      </c>
      <c r="M244">
        <v>160</v>
      </c>
      <c r="N244">
        <v>1</v>
      </c>
    </row>
    <row r="245" spans="1:14" x14ac:dyDescent="0.3">
      <c r="A245" t="s">
        <v>55</v>
      </c>
      <c r="B245">
        <v>2</v>
      </c>
      <c r="C245">
        <v>2</v>
      </c>
      <c r="D245">
        <v>44.5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 t="s">
        <v>13</v>
      </c>
      <c r="L245">
        <v>1</v>
      </c>
      <c r="M245">
        <v>160</v>
      </c>
      <c r="N245">
        <v>1</v>
      </c>
    </row>
    <row r="246" spans="1:14" x14ac:dyDescent="0.3">
      <c r="A246" t="s">
        <v>56</v>
      </c>
      <c r="B246">
        <v>3</v>
      </c>
      <c r="C246">
        <v>1</v>
      </c>
      <c r="D246">
        <v>50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 t="s">
        <v>13</v>
      </c>
      <c r="L246">
        <v>1</v>
      </c>
      <c r="M246">
        <v>160</v>
      </c>
      <c r="N246">
        <v>1</v>
      </c>
    </row>
    <row r="247" spans="1:14" x14ac:dyDescent="0.3">
      <c r="A247" t="s">
        <v>57</v>
      </c>
      <c r="B247">
        <v>1</v>
      </c>
      <c r="C247">
        <v>10</v>
      </c>
      <c r="D247">
        <v>40.75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 t="s">
        <v>13</v>
      </c>
      <c r="L247">
        <v>13</v>
      </c>
      <c r="M247">
        <v>160</v>
      </c>
      <c r="N247">
        <v>1</v>
      </c>
    </row>
    <row r="248" spans="1:14" x14ac:dyDescent="0.3">
      <c r="A248" t="s">
        <v>15</v>
      </c>
      <c r="B248">
        <v>3</v>
      </c>
      <c r="C248">
        <v>1</v>
      </c>
      <c r="D248">
        <v>73.5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 t="s">
        <v>14</v>
      </c>
      <c r="L248">
        <v>4</v>
      </c>
      <c r="M248">
        <v>465</v>
      </c>
      <c r="N248">
        <v>1</v>
      </c>
    </row>
    <row r="249" spans="1:14" x14ac:dyDescent="0.3">
      <c r="A249" t="s">
        <v>16</v>
      </c>
      <c r="B249">
        <v>1</v>
      </c>
      <c r="C249">
        <v>8</v>
      </c>
      <c r="D249">
        <v>64</v>
      </c>
      <c r="E249">
        <v>0</v>
      </c>
      <c r="F249">
        <v>1</v>
      </c>
      <c r="G249">
        <v>0</v>
      </c>
      <c r="H249">
        <v>0</v>
      </c>
      <c r="I249">
        <v>0</v>
      </c>
      <c r="J249">
        <v>0</v>
      </c>
      <c r="K249" t="s">
        <v>14</v>
      </c>
      <c r="L249">
        <v>3</v>
      </c>
      <c r="M249">
        <v>465</v>
      </c>
      <c r="N249">
        <v>1</v>
      </c>
    </row>
    <row r="250" spans="1:14" x14ac:dyDescent="0.3">
      <c r="A250" t="s">
        <v>18</v>
      </c>
      <c r="B250">
        <v>3</v>
      </c>
      <c r="C250">
        <v>2</v>
      </c>
      <c r="D250">
        <v>30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 t="s">
        <v>14</v>
      </c>
      <c r="L250">
        <v>2</v>
      </c>
      <c r="M250">
        <v>465</v>
      </c>
      <c r="N250">
        <v>1</v>
      </c>
    </row>
    <row r="251" spans="1:14" x14ac:dyDescent="0.3">
      <c r="A251" t="s">
        <v>19</v>
      </c>
      <c r="B251">
        <v>2</v>
      </c>
      <c r="C251">
        <v>14</v>
      </c>
      <c r="D251">
        <v>28.25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 t="s">
        <v>14</v>
      </c>
      <c r="L251">
        <v>15</v>
      </c>
      <c r="M251">
        <v>465</v>
      </c>
      <c r="N251">
        <v>1</v>
      </c>
    </row>
    <row r="252" spans="1:14" x14ac:dyDescent="0.3">
      <c r="A252" t="s">
        <v>21</v>
      </c>
      <c r="B252">
        <v>2</v>
      </c>
      <c r="C252">
        <v>4</v>
      </c>
      <c r="D252">
        <v>22.5</v>
      </c>
      <c r="E252">
        <v>0</v>
      </c>
      <c r="F252">
        <v>1</v>
      </c>
      <c r="G252">
        <v>1</v>
      </c>
      <c r="H252">
        <v>0</v>
      </c>
      <c r="I252">
        <v>0</v>
      </c>
      <c r="J252">
        <v>0</v>
      </c>
      <c r="K252" t="s">
        <v>14</v>
      </c>
      <c r="L252">
        <v>2</v>
      </c>
      <c r="M252">
        <v>465</v>
      </c>
      <c r="N252">
        <v>1</v>
      </c>
    </row>
    <row r="253" spans="1:14" x14ac:dyDescent="0.3">
      <c r="A253" t="s">
        <v>22</v>
      </c>
      <c r="B253">
        <v>2</v>
      </c>
      <c r="C253">
        <v>1</v>
      </c>
      <c r="D253">
        <v>25</v>
      </c>
      <c r="K253" t="s">
        <v>14</v>
      </c>
      <c r="L253">
        <v>1</v>
      </c>
      <c r="M253">
        <v>465</v>
      </c>
      <c r="N253">
        <v>1</v>
      </c>
    </row>
    <row r="254" spans="1:14" x14ac:dyDescent="0.3">
      <c r="A254" t="s">
        <v>23</v>
      </c>
      <c r="B254">
        <v>2</v>
      </c>
      <c r="C254">
        <v>4</v>
      </c>
      <c r="D254">
        <v>24</v>
      </c>
      <c r="E254">
        <v>0</v>
      </c>
      <c r="F254">
        <v>1</v>
      </c>
      <c r="G254">
        <v>0</v>
      </c>
      <c r="H254">
        <v>0</v>
      </c>
      <c r="I254">
        <v>0</v>
      </c>
      <c r="J254">
        <v>0</v>
      </c>
      <c r="K254" t="s">
        <v>14</v>
      </c>
      <c r="L254">
        <v>8</v>
      </c>
      <c r="M254">
        <v>465</v>
      </c>
      <c r="N254">
        <v>1</v>
      </c>
    </row>
    <row r="255" spans="1:14" x14ac:dyDescent="0.3">
      <c r="A255" t="s">
        <v>24</v>
      </c>
      <c r="B255">
        <v>1</v>
      </c>
      <c r="C255">
        <v>6</v>
      </c>
      <c r="D255">
        <v>26.5</v>
      </c>
      <c r="E255">
        <v>0</v>
      </c>
      <c r="F255">
        <v>1</v>
      </c>
      <c r="G255">
        <v>0</v>
      </c>
      <c r="H255">
        <v>0</v>
      </c>
      <c r="I255">
        <v>0</v>
      </c>
      <c r="J255">
        <v>0</v>
      </c>
      <c r="K255" t="s">
        <v>14</v>
      </c>
      <c r="L255">
        <v>13</v>
      </c>
      <c r="M255">
        <v>465</v>
      </c>
      <c r="N255">
        <v>1</v>
      </c>
    </row>
    <row r="256" spans="1:14" x14ac:dyDescent="0.3">
      <c r="A256" t="s">
        <v>25</v>
      </c>
      <c r="B256">
        <v>3</v>
      </c>
      <c r="C256">
        <v>15</v>
      </c>
      <c r="D256">
        <v>46.5</v>
      </c>
      <c r="E256">
        <v>0</v>
      </c>
      <c r="F256">
        <v>0</v>
      </c>
      <c r="G256">
        <v>1</v>
      </c>
      <c r="H256">
        <v>0</v>
      </c>
      <c r="I256">
        <v>0</v>
      </c>
      <c r="J256">
        <v>0</v>
      </c>
      <c r="K256" t="s">
        <v>14</v>
      </c>
      <c r="L256">
        <v>34</v>
      </c>
      <c r="M256">
        <v>465</v>
      </c>
      <c r="N256">
        <v>1</v>
      </c>
    </row>
    <row r="257" spans="1:14" x14ac:dyDescent="0.3">
      <c r="A257" t="s">
        <v>26</v>
      </c>
      <c r="B257">
        <v>3</v>
      </c>
      <c r="C257">
        <v>8</v>
      </c>
      <c r="D257">
        <v>44</v>
      </c>
      <c r="E257">
        <v>0</v>
      </c>
      <c r="F257">
        <v>0</v>
      </c>
      <c r="G257">
        <v>1</v>
      </c>
      <c r="H257">
        <v>0</v>
      </c>
      <c r="I257">
        <v>0</v>
      </c>
      <c r="J257">
        <v>0</v>
      </c>
      <c r="K257" t="s">
        <v>14</v>
      </c>
      <c r="L257">
        <v>1</v>
      </c>
      <c r="M257">
        <v>465</v>
      </c>
      <c r="N257">
        <v>1</v>
      </c>
    </row>
    <row r="258" spans="1:14" x14ac:dyDescent="0.3">
      <c r="A258" t="s">
        <v>27</v>
      </c>
      <c r="B258">
        <v>3</v>
      </c>
      <c r="C258">
        <v>1</v>
      </c>
      <c r="D258">
        <v>59</v>
      </c>
      <c r="E258">
        <v>0</v>
      </c>
      <c r="F258">
        <v>0</v>
      </c>
      <c r="G258">
        <v>0</v>
      </c>
      <c r="H258">
        <v>1</v>
      </c>
      <c r="I258">
        <v>0</v>
      </c>
      <c r="J258">
        <v>0</v>
      </c>
      <c r="K258" t="s">
        <v>14</v>
      </c>
      <c r="L258">
        <v>35</v>
      </c>
      <c r="M258">
        <v>465</v>
      </c>
      <c r="N258">
        <v>1</v>
      </c>
    </row>
    <row r="259" spans="1:14" x14ac:dyDescent="0.3">
      <c r="A259" t="s">
        <v>28</v>
      </c>
      <c r="B259">
        <v>1</v>
      </c>
      <c r="C259">
        <v>2</v>
      </c>
      <c r="D259">
        <v>58</v>
      </c>
      <c r="E259">
        <v>0</v>
      </c>
      <c r="F259">
        <v>0</v>
      </c>
      <c r="G259">
        <v>1</v>
      </c>
      <c r="H259">
        <v>1</v>
      </c>
      <c r="I259">
        <v>0</v>
      </c>
      <c r="J259">
        <v>0</v>
      </c>
      <c r="K259" t="s">
        <v>14</v>
      </c>
      <c r="L259">
        <v>10</v>
      </c>
      <c r="M259">
        <v>465</v>
      </c>
      <c r="N259">
        <v>1</v>
      </c>
    </row>
    <row r="260" spans="1:14" x14ac:dyDescent="0.3">
      <c r="A260" t="s">
        <v>29</v>
      </c>
      <c r="B260">
        <v>3</v>
      </c>
      <c r="C260">
        <v>4</v>
      </c>
      <c r="D260">
        <v>37.25</v>
      </c>
      <c r="E260">
        <v>0</v>
      </c>
      <c r="F260">
        <v>0</v>
      </c>
      <c r="G260">
        <v>1</v>
      </c>
      <c r="H260">
        <v>0</v>
      </c>
      <c r="I260">
        <v>0</v>
      </c>
      <c r="J260">
        <v>0</v>
      </c>
      <c r="K260" t="s">
        <v>14</v>
      </c>
      <c r="L260">
        <v>2</v>
      </c>
      <c r="M260">
        <v>465</v>
      </c>
      <c r="N260">
        <v>1</v>
      </c>
    </row>
    <row r="261" spans="1:14" x14ac:dyDescent="0.3">
      <c r="A261" t="s">
        <v>30</v>
      </c>
      <c r="B261">
        <v>3</v>
      </c>
      <c r="C261">
        <v>17</v>
      </c>
      <c r="D261">
        <v>56.25</v>
      </c>
      <c r="E261">
        <v>0</v>
      </c>
      <c r="F261">
        <v>0</v>
      </c>
      <c r="G261">
        <v>1</v>
      </c>
      <c r="H261">
        <v>1</v>
      </c>
      <c r="I261">
        <v>0</v>
      </c>
      <c r="J261">
        <v>0</v>
      </c>
      <c r="K261" t="s">
        <v>14</v>
      </c>
      <c r="L261">
        <v>58</v>
      </c>
      <c r="M261">
        <v>465</v>
      </c>
      <c r="N261">
        <v>1</v>
      </c>
    </row>
    <row r="262" spans="1:14" x14ac:dyDescent="0.3">
      <c r="A262" t="s">
        <v>32</v>
      </c>
      <c r="B262">
        <v>3</v>
      </c>
      <c r="C262">
        <v>10</v>
      </c>
      <c r="D262">
        <v>44.5</v>
      </c>
      <c r="E262">
        <v>0</v>
      </c>
      <c r="F262">
        <v>0</v>
      </c>
      <c r="G262">
        <v>1</v>
      </c>
      <c r="H262">
        <v>0</v>
      </c>
      <c r="I262">
        <v>0</v>
      </c>
      <c r="J262">
        <v>0</v>
      </c>
      <c r="K262" t="s">
        <v>14</v>
      </c>
      <c r="L262">
        <v>10</v>
      </c>
      <c r="M262">
        <v>465</v>
      </c>
      <c r="N262">
        <v>1</v>
      </c>
    </row>
    <row r="263" spans="1:14" x14ac:dyDescent="0.3">
      <c r="A263" t="s">
        <v>33</v>
      </c>
      <c r="B263">
        <v>3</v>
      </c>
      <c r="C263">
        <v>4</v>
      </c>
      <c r="D263">
        <v>41.5</v>
      </c>
      <c r="K263" t="s">
        <v>14</v>
      </c>
      <c r="L263">
        <v>5</v>
      </c>
      <c r="M263">
        <v>465</v>
      </c>
      <c r="N263">
        <v>1</v>
      </c>
    </row>
    <row r="264" spans="1:14" x14ac:dyDescent="0.3">
      <c r="A264" t="s">
        <v>176</v>
      </c>
      <c r="B264">
        <v>3</v>
      </c>
      <c r="C264">
        <v>5</v>
      </c>
      <c r="D264">
        <v>25</v>
      </c>
      <c r="E264">
        <v>1</v>
      </c>
      <c r="F264">
        <v>1</v>
      </c>
      <c r="G264">
        <v>0</v>
      </c>
      <c r="H264">
        <v>0</v>
      </c>
      <c r="I264">
        <v>0</v>
      </c>
      <c r="J264">
        <v>1</v>
      </c>
      <c r="K264" t="s">
        <v>14</v>
      </c>
      <c r="L264">
        <v>12</v>
      </c>
      <c r="M264">
        <v>465</v>
      </c>
      <c r="N264">
        <v>1</v>
      </c>
    </row>
    <row r="265" spans="1:14" x14ac:dyDescent="0.3">
      <c r="A265" t="s">
        <v>36</v>
      </c>
      <c r="B265">
        <v>2</v>
      </c>
      <c r="C265">
        <v>48</v>
      </c>
      <c r="D265">
        <v>25.75</v>
      </c>
      <c r="E265">
        <v>0</v>
      </c>
      <c r="F265">
        <v>1</v>
      </c>
      <c r="G265">
        <v>0</v>
      </c>
      <c r="H265">
        <v>1</v>
      </c>
      <c r="I265">
        <v>0</v>
      </c>
      <c r="J265">
        <v>0</v>
      </c>
      <c r="K265" t="s">
        <v>14</v>
      </c>
      <c r="L265">
        <v>20</v>
      </c>
      <c r="M265">
        <v>465</v>
      </c>
      <c r="N265">
        <v>1</v>
      </c>
    </row>
    <row r="266" spans="1:14" x14ac:dyDescent="0.3">
      <c r="A266" t="s">
        <v>37</v>
      </c>
      <c r="B266">
        <v>1</v>
      </c>
      <c r="C266">
        <v>1</v>
      </c>
      <c r="D266">
        <v>32</v>
      </c>
      <c r="E266">
        <v>1</v>
      </c>
      <c r="F266">
        <v>1</v>
      </c>
      <c r="G266">
        <v>0</v>
      </c>
      <c r="H266">
        <v>0</v>
      </c>
      <c r="I266">
        <v>0</v>
      </c>
      <c r="J266">
        <v>1</v>
      </c>
      <c r="K266" t="s">
        <v>14</v>
      </c>
      <c r="L266">
        <v>1</v>
      </c>
      <c r="M266">
        <v>465</v>
      </c>
      <c r="N266">
        <v>1</v>
      </c>
    </row>
    <row r="267" spans="1:14" x14ac:dyDescent="0.3">
      <c r="A267" t="s">
        <v>40</v>
      </c>
      <c r="B267">
        <v>1</v>
      </c>
      <c r="C267">
        <v>2</v>
      </c>
      <c r="D267">
        <v>29</v>
      </c>
      <c r="K267" t="s">
        <v>14</v>
      </c>
      <c r="L267">
        <v>3</v>
      </c>
      <c r="M267">
        <v>465</v>
      </c>
      <c r="N267">
        <v>1</v>
      </c>
    </row>
    <row r="268" spans="1:14" x14ac:dyDescent="0.3">
      <c r="A268" t="s">
        <v>41</v>
      </c>
      <c r="B268">
        <v>3</v>
      </c>
      <c r="C268">
        <v>2</v>
      </c>
      <c r="D268">
        <v>25.5</v>
      </c>
      <c r="E268">
        <v>0</v>
      </c>
      <c r="F268">
        <v>1</v>
      </c>
      <c r="G268">
        <v>1</v>
      </c>
      <c r="H268">
        <v>0</v>
      </c>
      <c r="I268">
        <v>0</v>
      </c>
      <c r="J268">
        <v>0</v>
      </c>
      <c r="K268" t="s">
        <v>14</v>
      </c>
      <c r="L268">
        <v>14</v>
      </c>
      <c r="M268">
        <v>465</v>
      </c>
      <c r="N268">
        <v>1</v>
      </c>
    </row>
    <row r="269" spans="1:14" x14ac:dyDescent="0.3">
      <c r="A269" t="s">
        <v>42</v>
      </c>
      <c r="B269">
        <v>3</v>
      </c>
      <c r="C269">
        <v>12</v>
      </c>
      <c r="D269">
        <v>29.25</v>
      </c>
      <c r="E269">
        <v>1</v>
      </c>
      <c r="F269">
        <v>1</v>
      </c>
      <c r="G269">
        <v>0</v>
      </c>
      <c r="H269">
        <v>0</v>
      </c>
      <c r="I269">
        <v>0</v>
      </c>
      <c r="J269">
        <v>1</v>
      </c>
      <c r="K269" t="s">
        <v>14</v>
      </c>
      <c r="L269">
        <v>25</v>
      </c>
      <c r="M269">
        <v>465</v>
      </c>
      <c r="N269">
        <v>1</v>
      </c>
    </row>
    <row r="270" spans="1:14" x14ac:dyDescent="0.3">
      <c r="A270" t="s">
        <v>43</v>
      </c>
      <c r="B270">
        <v>1</v>
      </c>
      <c r="C270">
        <v>1</v>
      </c>
      <c r="D270">
        <v>30</v>
      </c>
      <c r="E270">
        <v>0</v>
      </c>
      <c r="F270">
        <v>1</v>
      </c>
      <c r="G270">
        <v>0</v>
      </c>
      <c r="H270">
        <v>1</v>
      </c>
      <c r="I270">
        <v>1</v>
      </c>
      <c r="J270">
        <v>0</v>
      </c>
      <c r="K270" t="s">
        <v>14</v>
      </c>
      <c r="L270">
        <v>21</v>
      </c>
      <c r="M270">
        <v>465</v>
      </c>
      <c r="N270">
        <v>1</v>
      </c>
    </row>
    <row r="271" spans="1:14" x14ac:dyDescent="0.3">
      <c r="A271" t="s">
        <v>44</v>
      </c>
      <c r="B271">
        <v>1</v>
      </c>
      <c r="C271">
        <v>1</v>
      </c>
      <c r="D271">
        <v>34</v>
      </c>
      <c r="E271">
        <v>0</v>
      </c>
      <c r="F271">
        <v>1</v>
      </c>
      <c r="G271">
        <v>0</v>
      </c>
      <c r="H271">
        <v>0</v>
      </c>
      <c r="I271">
        <v>0</v>
      </c>
      <c r="J271">
        <v>0</v>
      </c>
      <c r="K271" t="s">
        <v>14</v>
      </c>
      <c r="L271">
        <v>10</v>
      </c>
      <c r="M271">
        <v>465</v>
      </c>
      <c r="N271">
        <v>1</v>
      </c>
    </row>
    <row r="272" spans="1:14" x14ac:dyDescent="0.3">
      <c r="A272" t="s">
        <v>45</v>
      </c>
      <c r="B272">
        <v>2</v>
      </c>
      <c r="C272">
        <v>1</v>
      </c>
      <c r="D272">
        <v>72</v>
      </c>
      <c r="E272">
        <v>1</v>
      </c>
      <c r="F272">
        <v>1</v>
      </c>
      <c r="G272">
        <v>0</v>
      </c>
      <c r="H272">
        <v>0</v>
      </c>
      <c r="I272">
        <v>0</v>
      </c>
      <c r="J272">
        <v>0</v>
      </c>
      <c r="K272" t="s">
        <v>14</v>
      </c>
      <c r="L272">
        <v>2</v>
      </c>
      <c r="M272">
        <v>465</v>
      </c>
      <c r="N272">
        <v>1</v>
      </c>
    </row>
    <row r="273" spans="1:14" x14ac:dyDescent="0.3">
      <c r="A273" t="s">
        <v>46</v>
      </c>
      <c r="B273">
        <v>1</v>
      </c>
      <c r="C273">
        <v>1</v>
      </c>
      <c r="D273">
        <v>60.75</v>
      </c>
      <c r="E273">
        <v>0</v>
      </c>
      <c r="F273">
        <v>0</v>
      </c>
      <c r="G273">
        <v>1</v>
      </c>
      <c r="H273">
        <v>0</v>
      </c>
      <c r="I273">
        <v>0</v>
      </c>
      <c r="J273">
        <v>0</v>
      </c>
      <c r="K273" t="s">
        <v>14</v>
      </c>
      <c r="L273">
        <v>7</v>
      </c>
      <c r="M273">
        <v>465</v>
      </c>
      <c r="N273">
        <v>1</v>
      </c>
    </row>
    <row r="274" spans="1:14" x14ac:dyDescent="0.3">
      <c r="A274" t="s">
        <v>47</v>
      </c>
      <c r="B274">
        <v>1</v>
      </c>
      <c r="C274">
        <v>3</v>
      </c>
      <c r="D274">
        <v>73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 t="s">
        <v>14</v>
      </c>
      <c r="L274">
        <v>4</v>
      </c>
      <c r="M274">
        <v>465</v>
      </c>
      <c r="N274">
        <v>1</v>
      </c>
    </row>
    <row r="275" spans="1:14" x14ac:dyDescent="0.3">
      <c r="A275" t="s">
        <v>50</v>
      </c>
      <c r="B275">
        <v>1</v>
      </c>
      <c r="C275">
        <v>2</v>
      </c>
      <c r="D275">
        <v>64.5</v>
      </c>
      <c r="E275">
        <v>1</v>
      </c>
      <c r="F275">
        <v>1</v>
      </c>
      <c r="G275">
        <v>0</v>
      </c>
      <c r="H275">
        <v>0</v>
      </c>
      <c r="I275">
        <v>0</v>
      </c>
      <c r="J275">
        <v>0</v>
      </c>
      <c r="K275" t="s">
        <v>14</v>
      </c>
      <c r="L275">
        <v>5</v>
      </c>
      <c r="M275">
        <v>465</v>
      </c>
      <c r="N275">
        <v>1</v>
      </c>
    </row>
    <row r="276" spans="1:14" x14ac:dyDescent="0.3">
      <c r="A276" t="s">
        <v>51</v>
      </c>
      <c r="B276">
        <v>1</v>
      </c>
      <c r="C276">
        <v>1</v>
      </c>
      <c r="D276">
        <v>53</v>
      </c>
      <c r="E276">
        <v>1</v>
      </c>
      <c r="F276">
        <v>1</v>
      </c>
      <c r="G276">
        <v>0</v>
      </c>
      <c r="H276">
        <v>0</v>
      </c>
      <c r="I276">
        <v>0</v>
      </c>
      <c r="J276">
        <v>0</v>
      </c>
      <c r="K276" t="s">
        <v>14</v>
      </c>
      <c r="L276">
        <v>20</v>
      </c>
      <c r="M276">
        <v>465</v>
      </c>
      <c r="N276">
        <v>1</v>
      </c>
    </row>
    <row r="277" spans="1:14" x14ac:dyDescent="0.3">
      <c r="A277" t="s">
        <v>52</v>
      </c>
      <c r="B277">
        <v>1</v>
      </c>
      <c r="C277">
        <v>1</v>
      </c>
      <c r="D277">
        <v>60</v>
      </c>
      <c r="E277">
        <v>0</v>
      </c>
      <c r="F277">
        <v>0</v>
      </c>
      <c r="G277">
        <v>1</v>
      </c>
      <c r="H277">
        <v>0</v>
      </c>
      <c r="I277">
        <v>0</v>
      </c>
      <c r="J277">
        <v>0</v>
      </c>
      <c r="K277" t="s">
        <v>14</v>
      </c>
      <c r="L277">
        <v>14</v>
      </c>
      <c r="M277">
        <v>465</v>
      </c>
      <c r="N277">
        <v>1</v>
      </c>
    </row>
    <row r="278" spans="1:14" x14ac:dyDescent="0.3">
      <c r="A278" t="s">
        <v>54</v>
      </c>
      <c r="B278">
        <v>3</v>
      </c>
      <c r="C278">
        <v>7</v>
      </c>
      <c r="D278">
        <v>42.5</v>
      </c>
      <c r="E278">
        <v>0</v>
      </c>
      <c r="F278">
        <v>1</v>
      </c>
      <c r="G278">
        <v>1</v>
      </c>
      <c r="H278">
        <v>0</v>
      </c>
      <c r="I278">
        <v>0</v>
      </c>
      <c r="J278">
        <v>0</v>
      </c>
      <c r="K278" t="s">
        <v>14</v>
      </c>
      <c r="L278">
        <v>2</v>
      </c>
      <c r="M278">
        <v>465</v>
      </c>
      <c r="N278">
        <v>1</v>
      </c>
    </row>
    <row r="279" spans="1:14" x14ac:dyDescent="0.3">
      <c r="A279" t="s">
        <v>55</v>
      </c>
      <c r="B279">
        <v>2</v>
      </c>
      <c r="C279">
        <v>2</v>
      </c>
      <c r="D279">
        <v>44.5</v>
      </c>
      <c r="E279">
        <v>0</v>
      </c>
      <c r="F279">
        <v>0</v>
      </c>
      <c r="G279">
        <v>0</v>
      </c>
      <c r="H279">
        <v>0</v>
      </c>
      <c r="I279">
        <v>1</v>
      </c>
      <c r="J279">
        <v>0</v>
      </c>
      <c r="K279" t="s">
        <v>14</v>
      </c>
      <c r="L279">
        <v>14</v>
      </c>
      <c r="M279">
        <v>465</v>
      </c>
      <c r="N279">
        <v>1</v>
      </c>
    </row>
    <row r="280" spans="1:14" x14ac:dyDescent="0.3">
      <c r="A280" t="s">
        <v>56</v>
      </c>
      <c r="B280">
        <v>3</v>
      </c>
      <c r="C280">
        <v>1</v>
      </c>
      <c r="D280">
        <v>50</v>
      </c>
      <c r="E280">
        <v>0</v>
      </c>
      <c r="F280">
        <v>0</v>
      </c>
      <c r="G280">
        <v>0</v>
      </c>
      <c r="H280">
        <v>1</v>
      </c>
      <c r="I280">
        <v>0</v>
      </c>
      <c r="J280">
        <v>0</v>
      </c>
      <c r="K280" t="s">
        <v>14</v>
      </c>
      <c r="L280">
        <v>25</v>
      </c>
      <c r="M280">
        <v>465</v>
      </c>
      <c r="N280">
        <v>1</v>
      </c>
    </row>
    <row r="281" spans="1:14" x14ac:dyDescent="0.3">
      <c r="A281" t="s">
        <v>57</v>
      </c>
      <c r="B281">
        <v>1</v>
      </c>
      <c r="C281">
        <v>10</v>
      </c>
      <c r="D281">
        <v>40.75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 t="s">
        <v>14</v>
      </c>
      <c r="L281">
        <v>80</v>
      </c>
      <c r="M281">
        <v>465</v>
      </c>
      <c r="N281">
        <v>1</v>
      </c>
    </row>
    <row r="282" spans="1:14" x14ac:dyDescent="0.3">
      <c r="A282" t="s">
        <v>58</v>
      </c>
      <c r="B282">
        <v>1</v>
      </c>
      <c r="C282">
        <v>1</v>
      </c>
      <c r="D282">
        <v>55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 t="s">
        <v>14</v>
      </c>
      <c r="L282">
        <v>52</v>
      </c>
      <c r="M282">
        <v>465</v>
      </c>
      <c r="N282">
        <v>1</v>
      </c>
    </row>
    <row r="283" spans="1:14" x14ac:dyDescent="0.3">
      <c r="A283" t="s">
        <v>59</v>
      </c>
      <c r="B283">
        <v>2</v>
      </c>
      <c r="C283">
        <v>4</v>
      </c>
      <c r="D283">
        <v>35.75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 t="s">
        <v>14</v>
      </c>
      <c r="L283">
        <v>11</v>
      </c>
      <c r="M283">
        <v>465</v>
      </c>
      <c r="N283">
        <v>1</v>
      </c>
    </row>
    <row r="284" spans="1:14" x14ac:dyDescent="0.3">
      <c r="A284" t="s">
        <v>60</v>
      </c>
      <c r="B284">
        <v>3</v>
      </c>
      <c r="C284">
        <v>9</v>
      </c>
      <c r="D284">
        <v>37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 t="s">
        <v>14</v>
      </c>
      <c r="L284">
        <v>13</v>
      </c>
      <c r="M284">
        <v>465</v>
      </c>
      <c r="N284">
        <v>1</v>
      </c>
    </row>
    <row r="285" spans="1:14" x14ac:dyDescent="0.3">
      <c r="A285" t="s">
        <v>61</v>
      </c>
      <c r="B285">
        <v>1</v>
      </c>
      <c r="C285">
        <v>9</v>
      </c>
      <c r="D285">
        <v>62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 t="s">
        <v>14</v>
      </c>
      <c r="L285">
        <v>4</v>
      </c>
      <c r="M285">
        <v>465</v>
      </c>
      <c r="N285">
        <v>1</v>
      </c>
    </row>
    <row r="286" spans="1:14" x14ac:dyDescent="0.3">
      <c r="A286" t="s">
        <v>63</v>
      </c>
      <c r="B286">
        <v>3</v>
      </c>
      <c r="C286">
        <v>2</v>
      </c>
      <c r="D286">
        <v>45</v>
      </c>
      <c r="K286" t="s">
        <v>14</v>
      </c>
      <c r="L286">
        <v>7</v>
      </c>
      <c r="M286">
        <v>465</v>
      </c>
      <c r="N286">
        <v>1</v>
      </c>
    </row>
    <row r="287" spans="1:14" x14ac:dyDescent="0.3">
      <c r="A287" t="s">
        <v>64</v>
      </c>
      <c r="B287">
        <v>3</v>
      </c>
      <c r="C287">
        <v>3</v>
      </c>
      <c r="D287">
        <v>56.25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 t="s">
        <v>14</v>
      </c>
      <c r="L287">
        <v>6</v>
      </c>
      <c r="M287">
        <v>465</v>
      </c>
      <c r="N287">
        <v>1</v>
      </c>
    </row>
    <row r="288" spans="1:14" x14ac:dyDescent="0.3">
      <c r="A288" t="s">
        <v>65</v>
      </c>
      <c r="B288">
        <v>3</v>
      </c>
      <c r="C288">
        <v>7</v>
      </c>
      <c r="D288">
        <v>53.5</v>
      </c>
      <c r="E288">
        <v>0</v>
      </c>
      <c r="F288">
        <v>0</v>
      </c>
      <c r="G288">
        <v>1</v>
      </c>
      <c r="H288">
        <v>0</v>
      </c>
      <c r="I288">
        <v>0</v>
      </c>
      <c r="J288">
        <v>0</v>
      </c>
      <c r="K288" t="s">
        <v>14</v>
      </c>
      <c r="L288">
        <v>9</v>
      </c>
      <c r="M288">
        <v>465</v>
      </c>
      <c r="N288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6FED3-1645-C746-8BDB-C2294A0F9B29}">
  <dimension ref="A1:AF104"/>
  <sheetViews>
    <sheetView topLeftCell="Q1" zoomScale="85" zoomScaleNormal="85" zoomScaleSheetLayoutView="100" workbookViewId="0">
      <selection activeCell="U5" sqref="U5"/>
    </sheetView>
  </sheetViews>
  <sheetFormatPr defaultColWidth="9.109375" defaultRowHeight="13.8" x14ac:dyDescent="0.3"/>
  <cols>
    <col min="1" max="1" width="11" style="38" bestFit="1" customWidth="1"/>
    <col min="2" max="23" width="8.88671875" style="37" customWidth="1"/>
    <col min="24" max="32" width="9" style="48" customWidth="1"/>
    <col min="33" max="16384" width="9.109375" style="37"/>
  </cols>
  <sheetData>
    <row r="1" spans="1:32" ht="55.2" x14ac:dyDescent="0.3">
      <c r="A1" s="34" t="s">
        <v>0</v>
      </c>
      <c r="B1" s="35" t="s">
        <v>178</v>
      </c>
      <c r="C1" s="35" t="s">
        <v>206</v>
      </c>
      <c r="D1" s="36" t="s">
        <v>179</v>
      </c>
      <c r="E1" s="36" t="s">
        <v>180</v>
      </c>
      <c r="F1" s="36" t="s">
        <v>181</v>
      </c>
      <c r="G1" s="36" t="s">
        <v>194</v>
      </c>
      <c r="H1" s="36" t="s">
        <v>182</v>
      </c>
      <c r="I1" s="36" t="s">
        <v>183</v>
      </c>
      <c r="J1" s="36" t="s">
        <v>184</v>
      </c>
      <c r="K1" s="36" t="s">
        <v>185</v>
      </c>
      <c r="L1" s="36" t="s">
        <v>186</v>
      </c>
      <c r="M1" s="36" t="s">
        <v>195</v>
      </c>
      <c r="N1" s="36" t="s">
        <v>196</v>
      </c>
      <c r="O1" s="36" t="s">
        <v>197</v>
      </c>
      <c r="P1" s="36" t="s">
        <v>198</v>
      </c>
      <c r="Q1" s="36" t="s">
        <v>187</v>
      </c>
      <c r="R1" s="36" t="s">
        <v>199</v>
      </c>
      <c r="S1" s="36" t="s">
        <v>200</v>
      </c>
      <c r="T1" s="36" t="s">
        <v>201</v>
      </c>
      <c r="U1" s="36" t="s">
        <v>202</v>
      </c>
      <c r="V1" s="36" t="s">
        <v>203</v>
      </c>
      <c r="W1" s="36" t="s">
        <v>188</v>
      </c>
      <c r="X1" s="50" t="s">
        <v>66</v>
      </c>
      <c r="Y1" s="50" t="s">
        <v>173</v>
      </c>
      <c r="Z1" s="50" t="s">
        <v>174</v>
      </c>
      <c r="AA1" s="50" t="s">
        <v>67</v>
      </c>
      <c r="AB1" s="50" t="s">
        <v>68</v>
      </c>
      <c r="AC1" s="50" t="s">
        <v>69</v>
      </c>
      <c r="AD1" s="50" t="s">
        <v>70</v>
      </c>
      <c r="AE1" s="50" t="s">
        <v>71</v>
      </c>
      <c r="AF1" s="50" t="s">
        <v>72</v>
      </c>
    </row>
    <row r="2" spans="1:32" x14ac:dyDescent="0.3">
      <c r="A2" s="38" t="s">
        <v>15</v>
      </c>
      <c r="B2" s="39">
        <v>0</v>
      </c>
      <c r="C2" s="39">
        <v>0</v>
      </c>
      <c r="D2" s="39">
        <v>0.5</v>
      </c>
      <c r="E2" s="39">
        <v>0.5</v>
      </c>
      <c r="F2" s="39">
        <v>0</v>
      </c>
      <c r="G2" s="39">
        <v>1</v>
      </c>
      <c r="H2" s="39">
        <v>0.25</v>
      </c>
      <c r="I2" s="39">
        <v>0.25</v>
      </c>
      <c r="J2" s="39">
        <v>0.25</v>
      </c>
      <c r="K2" s="39">
        <v>0.25</v>
      </c>
      <c r="L2" s="39">
        <v>0</v>
      </c>
      <c r="M2" s="40">
        <v>2</v>
      </c>
      <c r="N2" s="39">
        <v>3</v>
      </c>
      <c r="O2" s="39">
        <v>0.5</v>
      </c>
      <c r="P2" s="39">
        <v>0.5</v>
      </c>
      <c r="Q2" s="40">
        <v>0</v>
      </c>
      <c r="R2" s="39">
        <v>0</v>
      </c>
      <c r="S2" s="39">
        <v>3</v>
      </c>
      <c r="T2" s="40">
        <v>1</v>
      </c>
      <c r="U2" s="39">
        <v>4</v>
      </c>
      <c r="V2" s="39" t="s">
        <v>189</v>
      </c>
      <c r="W2" s="40">
        <v>36</v>
      </c>
      <c r="X2" s="41">
        <v>3</v>
      </c>
      <c r="Y2" s="41">
        <v>1</v>
      </c>
      <c r="Z2" s="41">
        <v>73.5</v>
      </c>
      <c r="AA2" s="41">
        <v>0</v>
      </c>
      <c r="AB2" s="41">
        <v>0</v>
      </c>
      <c r="AC2" s="41">
        <v>0</v>
      </c>
      <c r="AD2" s="41">
        <v>1</v>
      </c>
      <c r="AE2" s="41">
        <v>0</v>
      </c>
      <c r="AF2" s="41">
        <v>0</v>
      </c>
    </row>
    <row r="3" spans="1:32" x14ac:dyDescent="0.3">
      <c r="A3" s="38" t="s">
        <v>16</v>
      </c>
      <c r="B3" s="39">
        <v>0</v>
      </c>
      <c r="C3" s="39">
        <v>0</v>
      </c>
      <c r="D3" s="39">
        <v>0.5</v>
      </c>
      <c r="E3" s="39">
        <v>0.5</v>
      </c>
      <c r="F3" s="39">
        <v>0</v>
      </c>
      <c r="G3" s="39">
        <v>2.83</v>
      </c>
      <c r="H3" s="39">
        <v>0</v>
      </c>
      <c r="I3" s="39">
        <v>0.5</v>
      </c>
      <c r="J3" s="39">
        <v>0.5</v>
      </c>
      <c r="K3" s="39">
        <v>0</v>
      </c>
      <c r="L3" s="39">
        <v>0</v>
      </c>
      <c r="M3" s="40">
        <v>1</v>
      </c>
      <c r="N3" s="39">
        <v>1</v>
      </c>
      <c r="O3" s="39">
        <v>1</v>
      </c>
      <c r="P3" s="39">
        <v>0</v>
      </c>
      <c r="Q3" s="40">
        <v>0</v>
      </c>
      <c r="R3" s="39">
        <v>0</v>
      </c>
      <c r="S3" s="39">
        <v>3</v>
      </c>
      <c r="T3" s="40">
        <v>2</v>
      </c>
      <c r="U3" s="39">
        <v>4</v>
      </c>
      <c r="V3" s="39" t="s">
        <v>190</v>
      </c>
      <c r="W3" s="40">
        <v>32</v>
      </c>
      <c r="X3" s="41">
        <v>1</v>
      </c>
      <c r="Y3" s="41">
        <v>8</v>
      </c>
      <c r="Z3" s="41">
        <v>64</v>
      </c>
      <c r="AA3" s="41">
        <v>0</v>
      </c>
      <c r="AB3" s="41">
        <v>1</v>
      </c>
      <c r="AC3" s="41">
        <v>0</v>
      </c>
      <c r="AD3" s="41">
        <v>0</v>
      </c>
      <c r="AE3" s="41">
        <v>0</v>
      </c>
      <c r="AF3" s="41">
        <v>0</v>
      </c>
    </row>
    <row r="4" spans="1:32" x14ac:dyDescent="0.3">
      <c r="A4" s="38" t="s">
        <v>17</v>
      </c>
      <c r="B4" s="39">
        <v>0</v>
      </c>
      <c r="C4" s="39">
        <v>0</v>
      </c>
      <c r="D4" s="39">
        <v>0.33</v>
      </c>
      <c r="E4" s="39">
        <v>0.33</v>
      </c>
      <c r="F4" s="39">
        <v>0.33</v>
      </c>
      <c r="G4" s="39">
        <v>2</v>
      </c>
      <c r="H4" s="39">
        <v>0.2</v>
      </c>
      <c r="I4" s="39">
        <v>0.2</v>
      </c>
      <c r="J4" s="39">
        <v>0.2</v>
      </c>
      <c r="K4" s="39">
        <v>0.2</v>
      </c>
      <c r="L4" s="39">
        <v>0.2</v>
      </c>
      <c r="M4" s="40">
        <v>2</v>
      </c>
      <c r="N4" s="39">
        <v>1</v>
      </c>
      <c r="O4" s="39">
        <v>0</v>
      </c>
      <c r="P4" s="39">
        <v>1</v>
      </c>
      <c r="Q4" s="40">
        <v>0</v>
      </c>
      <c r="R4" s="39">
        <v>0.5</v>
      </c>
      <c r="S4" s="39">
        <v>3</v>
      </c>
      <c r="T4" s="40">
        <v>1</v>
      </c>
      <c r="U4" s="39">
        <v>5</v>
      </c>
      <c r="V4" s="39" t="s">
        <v>192</v>
      </c>
      <c r="W4" s="40">
        <v>35</v>
      </c>
      <c r="X4" s="41">
        <v>3</v>
      </c>
      <c r="Y4" s="41">
        <v>12</v>
      </c>
      <c r="Z4" s="41">
        <v>72.5</v>
      </c>
      <c r="AA4" s="41">
        <v>0</v>
      </c>
      <c r="AB4" s="41">
        <v>1</v>
      </c>
      <c r="AC4" s="41">
        <v>1</v>
      </c>
      <c r="AD4" s="41">
        <v>0</v>
      </c>
      <c r="AE4" s="41">
        <v>0</v>
      </c>
      <c r="AF4" s="41">
        <v>0</v>
      </c>
    </row>
    <row r="5" spans="1:32" x14ac:dyDescent="0.3">
      <c r="A5" s="38" t="s">
        <v>18</v>
      </c>
      <c r="B5" s="40">
        <v>0</v>
      </c>
      <c r="C5" s="40">
        <v>0</v>
      </c>
      <c r="D5" s="39">
        <v>0.5</v>
      </c>
      <c r="E5" s="39">
        <v>0.5</v>
      </c>
      <c r="F5" s="39">
        <v>0</v>
      </c>
      <c r="G5" s="39">
        <v>1.94</v>
      </c>
      <c r="H5" s="39">
        <v>0</v>
      </c>
      <c r="I5" s="39">
        <v>0.25</v>
      </c>
      <c r="J5" s="39">
        <v>0.25</v>
      </c>
      <c r="K5" s="39">
        <v>0.25</v>
      </c>
      <c r="L5" s="39">
        <v>0.25</v>
      </c>
      <c r="M5" s="40">
        <v>3</v>
      </c>
      <c r="N5" s="40">
        <v>1</v>
      </c>
      <c r="O5" s="39">
        <v>0</v>
      </c>
      <c r="P5" s="39">
        <v>1</v>
      </c>
      <c r="Q5" s="40">
        <v>0</v>
      </c>
      <c r="R5" s="39">
        <v>0.5</v>
      </c>
      <c r="S5" s="39">
        <v>2</v>
      </c>
      <c r="T5" s="40">
        <v>1</v>
      </c>
      <c r="U5" s="39">
        <v>4</v>
      </c>
      <c r="V5" s="39" t="s">
        <v>189</v>
      </c>
      <c r="W5" s="40">
        <v>14.5</v>
      </c>
      <c r="X5" s="41">
        <v>3</v>
      </c>
      <c r="Y5" s="41">
        <v>2</v>
      </c>
      <c r="Z5" s="41">
        <v>30</v>
      </c>
      <c r="AA5" s="41">
        <v>0</v>
      </c>
      <c r="AB5" s="41">
        <v>0</v>
      </c>
      <c r="AC5" s="41">
        <v>1</v>
      </c>
      <c r="AD5" s="41">
        <v>0</v>
      </c>
      <c r="AE5" s="41">
        <v>0</v>
      </c>
      <c r="AF5" s="41">
        <v>0</v>
      </c>
    </row>
    <row r="6" spans="1:32" x14ac:dyDescent="0.3">
      <c r="A6" s="38" t="s">
        <v>19</v>
      </c>
      <c r="B6" s="40">
        <v>0</v>
      </c>
      <c r="C6" s="40">
        <v>0</v>
      </c>
      <c r="D6" s="39">
        <v>0.5</v>
      </c>
      <c r="E6" s="39">
        <v>0.5</v>
      </c>
      <c r="F6" s="39">
        <v>0</v>
      </c>
      <c r="G6" s="39">
        <v>3.7</v>
      </c>
      <c r="H6" s="39">
        <v>0</v>
      </c>
      <c r="I6" s="39">
        <v>0</v>
      </c>
      <c r="J6" s="39">
        <v>0.5</v>
      </c>
      <c r="K6" s="39">
        <v>0.5</v>
      </c>
      <c r="L6" s="39">
        <v>0</v>
      </c>
      <c r="M6" s="40">
        <v>2</v>
      </c>
      <c r="N6" s="40">
        <v>2</v>
      </c>
      <c r="O6" s="39">
        <v>0</v>
      </c>
      <c r="P6" s="39">
        <v>1</v>
      </c>
      <c r="Q6" s="40">
        <v>0</v>
      </c>
      <c r="R6" s="39">
        <v>0.5</v>
      </c>
      <c r="S6" s="39">
        <v>2</v>
      </c>
      <c r="T6" s="40">
        <v>1</v>
      </c>
      <c r="U6" s="39">
        <v>4</v>
      </c>
      <c r="V6" s="39" t="s">
        <v>189</v>
      </c>
      <c r="W6" s="40">
        <v>15.5</v>
      </c>
      <c r="X6" s="41">
        <v>2</v>
      </c>
      <c r="Y6" s="41">
        <v>14</v>
      </c>
      <c r="Z6" s="41">
        <v>28.25</v>
      </c>
      <c r="AA6" s="41">
        <v>0</v>
      </c>
      <c r="AB6" s="41">
        <v>0</v>
      </c>
      <c r="AC6" s="41">
        <v>1</v>
      </c>
      <c r="AD6" s="41">
        <v>0</v>
      </c>
      <c r="AE6" s="41">
        <v>0</v>
      </c>
      <c r="AF6" s="41">
        <v>0</v>
      </c>
    </row>
    <row r="7" spans="1:32" x14ac:dyDescent="0.3">
      <c r="A7" s="38" t="s">
        <v>20</v>
      </c>
      <c r="B7" s="42">
        <v>0</v>
      </c>
      <c r="C7" s="42">
        <v>0</v>
      </c>
      <c r="D7" s="43">
        <v>0.5</v>
      </c>
      <c r="E7" s="43">
        <v>0.5</v>
      </c>
      <c r="F7" s="43">
        <v>0</v>
      </c>
      <c r="G7" s="43">
        <v>1.73</v>
      </c>
      <c r="H7" s="43">
        <v>0</v>
      </c>
      <c r="I7" s="43">
        <v>0.33</v>
      </c>
      <c r="J7" s="43">
        <v>0.33</v>
      </c>
      <c r="K7" s="43">
        <v>0.33</v>
      </c>
      <c r="L7" s="43">
        <v>0</v>
      </c>
      <c r="M7" s="42">
        <v>2</v>
      </c>
      <c r="N7" s="42">
        <v>1</v>
      </c>
      <c r="O7" s="43">
        <v>0.5</v>
      </c>
      <c r="P7" s="43">
        <v>0.5</v>
      </c>
      <c r="Q7" s="42">
        <v>0</v>
      </c>
      <c r="R7" s="43">
        <v>0</v>
      </c>
      <c r="S7" s="43">
        <v>2</v>
      </c>
      <c r="T7" s="42">
        <v>2</v>
      </c>
      <c r="U7" s="43">
        <v>3</v>
      </c>
      <c r="V7" s="43" t="s">
        <v>191</v>
      </c>
      <c r="W7" s="42">
        <v>13</v>
      </c>
      <c r="X7" s="41">
        <v>2</v>
      </c>
      <c r="Y7" s="41">
        <v>4</v>
      </c>
      <c r="Z7" s="41">
        <v>26</v>
      </c>
      <c r="AA7" s="41">
        <v>1</v>
      </c>
      <c r="AB7" s="41">
        <v>1</v>
      </c>
      <c r="AC7" s="41">
        <v>0</v>
      </c>
      <c r="AD7" s="41">
        <v>0</v>
      </c>
      <c r="AE7" s="41">
        <v>0</v>
      </c>
      <c r="AF7" s="41">
        <v>0</v>
      </c>
    </row>
    <row r="8" spans="1:32" x14ac:dyDescent="0.3">
      <c r="A8" s="38" t="s">
        <v>21</v>
      </c>
      <c r="B8" s="42">
        <v>0</v>
      </c>
      <c r="C8" s="42">
        <v>0</v>
      </c>
      <c r="D8" s="43">
        <v>0.5</v>
      </c>
      <c r="E8" s="43">
        <v>0.5</v>
      </c>
      <c r="F8" s="43">
        <v>0</v>
      </c>
      <c r="G8" s="43">
        <v>2</v>
      </c>
      <c r="H8" s="43">
        <v>0</v>
      </c>
      <c r="I8" s="43">
        <v>0.33</v>
      </c>
      <c r="J8" s="43">
        <v>0.33</v>
      </c>
      <c r="K8" s="43">
        <v>0.33</v>
      </c>
      <c r="L8" s="43">
        <v>0</v>
      </c>
      <c r="M8" s="42">
        <v>2</v>
      </c>
      <c r="N8" s="42">
        <v>1</v>
      </c>
      <c r="O8" s="43">
        <v>0</v>
      </c>
      <c r="P8" s="43">
        <v>1</v>
      </c>
      <c r="Q8" s="42">
        <v>0</v>
      </c>
      <c r="R8" s="43">
        <v>0.5</v>
      </c>
      <c r="S8" s="43">
        <v>3</v>
      </c>
      <c r="T8" s="42">
        <v>1</v>
      </c>
      <c r="U8" s="43">
        <v>4</v>
      </c>
      <c r="V8" s="43" t="s">
        <v>189</v>
      </c>
      <c r="W8" s="42">
        <v>12</v>
      </c>
      <c r="X8" s="41">
        <v>2</v>
      </c>
      <c r="Y8" s="41">
        <v>4</v>
      </c>
      <c r="Z8" s="41">
        <v>22.5</v>
      </c>
      <c r="AA8" s="41">
        <v>0</v>
      </c>
      <c r="AB8" s="41">
        <v>1</v>
      </c>
      <c r="AC8" s="41">
        <v>1</v>
      </c>
      <c r="AD8" s="41">
        <v>0</v>
      </c>
      <c r="AE8" s="41">
        <v>0</v>
      </c>
      <c r="AF8" s="41">
        <v>0</v>
      </c>
    </row>
    <row r="9" spans="1:32" x14ac:dyDescent="0.3">
      <c r="A9" s="38" t="s">
        <v>22</v>
      </c>
      <c r="B9" s="40">
        <v>0</v>
      </c>
      <c r="C9" s="40">
        <v>0</v>
      </c>
      <c r="D9" s="39">
        <v>0.5</v>
      </c>
      <c r="E9" s="39">
        <v>0.5</v>
      </c>
      <c r="F9" s="39">
        <v>0</v>
      </c>
      <c r="G9" s="39">
        <v>1</v>
      </c>
      <c r="H9" s="39">
        <v>0</v>
      </c>
      <c r="I9" s="39">
        <v>0.5</v>
      </c>
      <c r="J9" s="39">
        <v>0.5</v>
      </c>
      <c r="K9" s="39">
        <v>0</v>
      </c>
      <c r="L9" s="39">
        <v>0</v>
      </c>
      <c r="M9" s="40">
        <v>2</v>
      </c>
      <c r="N9" s="40">
        <v>1</v>
      </c>
      <c r="O9" s="39">
        <v>0</v>
      </c>
      <c r="P9" s="39">
        <v>1</v>
      </c>
      <c r="Q9" s="40">
        <v>0</v>
      </c>
      <c r="R9" s="39">
        <v>0.5</v>
      </c>
      <c r="S9" s="39">
        <v>2</v>
      </c>
      <c r="T9" s="40">
        <v>3</v>
      </c>
      <c r="U9" s="39">
        <v>4</v>
      </c>
      <c r="V9" s="39" t="s">
        <v>189</v>
      </c>
      <c r="W9" s="40">
        <v>12.5</v>
      </c>
      <c r="X9" s="41">
        <v>2</v>
      </c>
      <c r="Y9" s="41">
        <v>1</v>
      </c>
      <c r="Z9" s="41">
        <v>25</v>
      </c>
      <c r="AA9" s="41"/>
      <c r="AB9" s="41"/>
      <c r="AC9" s="41"/>
      <c r="AD9" s="41"/>
      <c r="AE9" s="41"/>
      <c r="AF9" s="41"/>
    </row>
    <row r="10" spans="1:32" x14ac:dyDescent="0.3">
      <c r="A10" s="38" t="s">
        <v>23</v>
      </c>
      <c r="B10" s="40">
        <v>0</v>
      </c>
      <c r="C10" s="40">
        <v>0</v>
      </c>
      <c r="D10" s="39">
        <v>0.5</v>
      </c>
      <c r="E10" s="39">
        <v>0.5</v>
      </c>
      <c r="F10" s="39">
        <v>0</v>
      </c>
      <c r="G10" s="39">
        <v>1.73</v>
      </c>
      <c r="H10" s="39">
        <v>0</v>
      </c>
      <c r="I10" s="39">
        <v>0.5</v>
      </c>
      <c r="J10" s="39">
        <v>0.5</v>
      </c>
      <c r="K10" s="39">
        <v>0</v>
      </c>
      <c r="L10" s="39">
        <v>0</v>
      </c>
      <c r="M10" s="40">
        <v>1</v>
      </c>
      <c r="N10" s="40">
        <v>2</v>
      </c>
      <c r="O10" s="39">
        <v>0</v>
      </c>
      <c r="P10" s="39">
        <v>1</v>
      </c>
      <c r="Q10" s="40">
        <v>0</v>
      </c>
      <c r="R10" s="39">
        <v>0</v>
      </c>
      <c r="S10" s="39">
        <v>2</v>
      </c>
      <c r="T10" s="40">
        <v>1</v>
      </c>
      <c r="U10" s="39">
        <v>3</v>
      </c>
      <c r="V10" s="39" t="s">
        <v>191</v>
      </c>
      <c r="W10" s="40">
        <v>12</v>
      </c>
      <c r="X10" s="41">
        <v>2</v>
      </c>
      <c r="Y10" s="41">
        <v>4</v>
      </c>
      <c r="Z10" s="41">
        <v>24</v>
      </c>
      <c r="AA10" s="41">
        <v>0</v>
      </c>
      <c r="AB10" s="41">
        <v>1</v>
      </c>
      <c r="AC10" s="41">
        <v>0</v>
      </c>
      <c r="AD10" s="41">
        <v>0</v>
      </c>
      <c r="AE10" s="41">
        <v>0</v>
      </c>
      <c r="AF10" s="41">
        <v>0</v>
      </c>
    </row>
    <row r="11" spans="1:32" x14ac:dyDescent="0.3">
      <c r="A11" s="38" t="s">
        <v>24</v>
      </c>
      <c r="B11" s="40">
        <v>0</v>
      </c>
      <c r="C11" s="40">
        <v>0</v>
      </c>
      <c r="D11" s="39">
        <v>0.5</v>
      </c>
      <c r="E11" s="39">
        <v>0.5</v>
      </c>
      <c r="F11" s="39">
        <v>0</v>
      </c>
      <c r="G11" s="39">
        <v>1.73</v>
      </c>
      <c r="H11" s="39">
        <v>0</v>
      </c>
      <c r="I11" s="39">
        <v>0.5</v>
      </c>
      <c r="J11" s="39">
        <v>0.5</v>
      </c>
      <c r="K11" s="39">
        <v>0</v>
      </c>
      <c r="L11" s="39">
        <v>0</v>
      </c>
      <c r="M11" s="40">
        <v>1</v>
      </c>
      <c r="N11" s="40">
        <v>2</v>
      </c>
      <c r="O11" s="39">
        <v>0</v>
      </c>
      <c r="P11" s="39">
        <v>1</v>
      </c>
      <c r="Q11" s="40">
        <v>0</v>
      </c>
      <c r="R11" s="39">
        <v>0.5</v>
      </c>
      <c r="S11" s="39">
        <v>2</v>
      </c>
      <c r="T11" s="40">
        <v>2</v>
      </c>
      <c r="U11" s="39">
        <v>3</v>
      </c>
      <c r="V11" s="39" t="s">
        <v>191</v>
      </c>
      <c r="W11" s="40">
        <v>14</v>
      </c>
      <c r="X11" s="41">
        <v>1</v>
      </c>
      <c r="Y11" s="41">
        <v>6</v>
      </c>
      <c r="Z11" s="41">
        <v>26.5</v>
      </c>
      <c r="AA11" s="41">
        <v>0</v>
      </c>
      <c r="AB11" s="41">
        <v>1</v>
      </c>
      <c r="AC11" s="41">
        <v>0</v>
      </c>
      <c r="AD11" s="41">
        <v>0</v>
      </c>
      <c r="AE11" s="41">
        <v>0</v>
      </c>
      <c r="AF11" s="41">
        <v>0</v>
      </c>
    </row>
    <row r="12" spans="1:32" x14ac:dyDescent="0.3">
      <c r="A12" s="38" t="s">
        <v>25</v>
      </c>
      <c r="B12" s="39">
        <v>0</v>
      </c>
      <c r="C12" s="39">
        <v>0</v>
      </c>
      <c r="D12" s="39">
        <v>0.33</v>
      </c>
      <c r="E12" s="39">
        <v>0.33</v>
      </c>
      <c r="F12" s="39">
        <v>0.33</v>
      </c>
      <c r="G12" s="39">
        <v>3.87</v>
      </c>
      <c r="H12" s="39">
        <v>0.2</v>
      </c>
      <c r="I12" s="39">
        <v>0.2</v>
      </c>
      <c r="J12" s="39">
        <v>0.2</v>
      </c>
      <c r="K12" s="39">
        <v>0.2</v>
      </c>
      <c r="L12" s="39">
        <v>0.2</v>
      </c>
      <c r="M12" s="40">
        <v>3</v>
      </c>
      <c r="N12" s="39">
        <v>1</v>
      </c>
      <c r="O12" s="39">
        <v>0</v>
      </c>
      <c r="P12" s="39">
        <v>1</v>
      </c>
      <c r="Q12" s="40">
        <v>1</v>
      </c>
      <c r="R12" s="39">
        <v>0.5</v>
      </c>
      <c r="S12" s="39">
        <v>4</v>
      </c>
      <c r="T12" s="40">
        <v>1</v>
      </c>
      <c r="U12" s="39">
        <v>3</v>
      </c>
      <c r="V12" s="39" t="s">
        <v>189</v>
      </c>
      <c r="W12" s="40">
        <v>25</v>
      </c>
      <c r="X12" s="41">
        <v>3</v>
      </c>
      <c r="Y12" s="41">
        <v>15</v>
      </c>
      <c r="Z12" s="41">
        <v>46.5</v>
      </c>
      <c r="AA12" s="41">
        <v>0</v>
      </c>
      <c r="AB12" s="41">
        <v>0</v>
      </c>
      <c r="AC12" s="41">
        <v>1</v>
      </c>
      <c r="AD12" s="41">
        <v>0</v>
      </c>
      <c r="AE12" s="41">
        <v>0</v>
      </c>
      <c r="AF12" s="41">
        <v>0</v>
      </c>
    </row>
    <row r="13" spans="1:32" x14ac:dyDescent="0.3">
      <c r="A13" s="38" t="s">
        <v>26</v>
      </c>
      <c r="B13" s="39">
        <v>0</v>
      </c>
      <c r="C13" s="39">
        <v>0</v>
      </c>
      <c r="D13" s="39">
        <v>0.5</v>
      </c>
      <c r="E13" s="39">
        <v>0.5</v>
      </c>
      <c r="F13" s="39">
        <v>0</v>
      </c>
      <c r="G13" s="39">
        <v>2.65</v>
      </c>
      <c r="H13" s="39">
        <v>0.33</v>
      </c>
      <c r="I13" s="39">
        <v>0.33</v>
      </c>
      <c r="J13" s="39">
        <v>0.33</v>
      </c>
      <c r="K13" s="39">
        <v>0</v>
      </c>
      <c r="L13" s="39">
        <v>0</v>
      </c>
      <c r="M13" s="40">
        <v>2</v>
      </c>
      <c r="N13" s="39">
        <v>1</v>
      </c>
      <c r="O13" s="39">
        <v>0.5</v>
      </c>
      <c r="P13" s="39">
        <v>0.5</v>
      </c>
      <c r="Q13" s="40">
        <v>0</v>
      </c>
      <c r="R13" s="39">
        <v>0</v>
      </c>
      <c r="S13" s="39">
        <v>3</v>
      </c>
      <c r="T13" s="40">
        <v>3</v>
      </c>
      <c r="U13" s="39">
        <v>4</v>
      </c>
      <c r="V13" s="39" t="s">
        <v>189</v>
      </c>
      <c r="W13" s="40">
        <v>22</v>
      </c>
      <c r="X13" s="41">
        <v>3</v>
      </c>
      <c r="Y13" s="41">
        <v>8</v>
      </c>
      <c r="Z13" s="41">
        <v>44</v>
      </c>
      <c r="AA13" s="41">
        <v>0</v>
      </c>
      <c r="AB13" s="41">
        <v>0</v>
      </c>
      <c r="AC13" s="41">
        <v>1</v>
      </c>
      <c r="AD13" s="41">
        <v>0</v>
      </c>
      <c r="AE13" s="41">
        <v>0</v>
      </c>
      <c r="AF13" s="41">
        <v>0</v>
      </c>
    </row>
    <row r="14" spans="1:32" x14ac:dyDescent="0.3">
      <c r="A14" s="38" t="s">
        <v>27</v>
      </c>
      <c r="B14" s="39">
        <v>0</v>
      </c>
      <c r="C14" s="39">
        <v>0</v>
      </c>
      <c r="D14" s="39">
        <v>0.33</v>
      </c>
      <c r="E14" s="39">
        <v>0.33</v>
      </c>
      <c r="F14" s="39">
        <v>0.33</v>
      </c>
      <c r="G14" s="39">
        <v>1</v>
      </c>
      <c r="H14" s="39">
        <v>0.33</v>
      </c>
      <c r="I14" s="39">
        <v>0.33</v>
      </c>
      <c r="J14" s="39">
        <v>0.33</v>
      </c>
      <c r="K14" s="39">
        <v>0</v>
      </c>
      <c r="L14" s="39">
        <v>0</v>
      </c>
      <c r="M14" s="40">
        <v>1</v>
      </c>
      <c r="N14" s="39">
        <v>3</v>
      </c>
      <c r="O14" s="39">
        <v>0</v>
      </c>
      <c r="P14" s="39">
        <v>1</v>
      </c>
      <c r="Q14" s="40">
        <v>0</v>
      </c>
      <c r="R14" s="39">
        <v>0</v>
      </c>
      <c r="S14" s="39">
        <v>4</v>
      </c>
      <c r="T14" s="40">
        <v>2</v>
      </c>
      <c r="U14" s="39">
        <v>2</v>
      </c>
      <c r="V14" s="39" t="s">
        <v>190</v>
      </c>
      <c r="W14" s="40">
        <v>27.5</v>
      </c>
      <c r="X14" s="41">
        <v>3</v>
      </c>
      <c r="Y14" s="41">
        <v>1</v>
      </c>
      <c r="Z14" s="41">
        <v>59</v>
      </c>
      <c r="AA14" s="41">
        <v>0</v>
      </c>
      <c r="AB14" s="41">
        <v>0</v>
      </c>
      <c r="AC14" s="41">
        <v>0</v>
      </c>
      <c r="AD14" s="41">
        <v>1</v>
      </c>
      <c r="AE14" s="41">
        <v>0</v>
      </c>
      <c r="AF14" s="41">
        <v>0</v>
      </c>
    </row>
    <row r="15" spans="1:32" x14ac:dyDescent="0.3">
      <c r="A15" s="38" t="s">
        <v>28</v>
      </c>
      <c r="B15" s="39">
        <v>0</v>
      </c>
      <c r="C15" s="39">
        <v>0</v>
      </c>
      <c r="D15" s="39">
        <v>0.33</v>
      </c>
      <c r="E15" s="39">
        <v>0.33</v>
      </c>
      <c r="F15" s="39">
        <v>0.33</v>
      </c>
      <c r="G15" s="39">
        <v>1.41</v>
      </c>
      <c r="H15" s="39">
        <v>0.2</v>
      </c>
      <c r="I15" s="39">
        <v>0.2</v>
      </c>
      <c r="J15" s="39">
        <v>0.2</v>
      </c>
      <c r="K15" s="39">
        <v>0.2</v>
      </c>
      <c r="L15" s="39">
        <v>0.2</v>
      </c>
      <c r="M15" s="40">
        <v>1</v>
      </c>
      <c r="N15" s="39">
        <v>3</v>
      </c>
      <c r="O15" s="39">
        <v>0</v>
      </c>
      <c r="P15" s="39">
        <v>1</v>
      </c>
      <c r="Q15" s="40">
        <v>0</v>
      </c>
      <c r="R15" s="39">
        <v>0.5</v>
      </c>
      <c r="S15" s="39">
        <v>4</v>
      </c>
      <c r="T15" s="40">
        <v>2</v>
      </c>
      <c r="U15" s="39">
        <v>4</v>
      </c>
      <c r="V15" s="39" t="s">
        <v>189</v>
      </c>
      <c r="W15" s="40">
        <v>28</v>
      </c>
      <c r="X15" s="41">
        <v>1</v>
      </c>
      <c r="Y15" s="41">
        <v>2</v>
      </c>
      <c r="Z15" s="41">
        <v>58</v>
      </c>
      <c r="AA15" s="41">
        <v>0</v>
      </c>
      <c r="AB15" s="41">
        <v>0</v>
      </c>
      <c r="AC15" s="41">
        <v>1</v>
      </c>
      <c r="AD15" s="41">
        <v>1</v>
      </c>
      <c r="AE15" s="41">
        <v>0</v>
      </c>
      <c r="AF15" s="41">
        <v>0</v>
      </c>
    </row>
    <row r="16" spans="1:32" x14ac:dyDescent="0.3">
      <c r="A16" s="38" t="s">
        <v>29</v>
      </c>
      <c r="B16" s="39">
        <v>0</v>
      </c>
      <c r="C16" s="39">
        <v>0</v>
      </c>
      <c r="D16" s="39">
        <v>0.33</v>
      </c>
      <c r="E16" s="39">
        <v>0.33</v>
      </c>
      <c r="F16" s="39">
        <v>0.33</v>
      </c>
      <c r="G16" s="39">
        <v>1</v>
      </c>
      <c r="H16" s="39">
        <v>0</v>
      </c>
      <c r="I16" s="39">
        <v>0.33</v>
      </c>
      <c r="J16" s="39">
        <v>0.33</v>
      </c>
      <c r="K16" s="39">
        <v>0.33</v>
      </c>
      <c r="L16" s="39">
        <v>0</v>
      </c>
      <c r="M16" s="40">
        <v>2</v>
      </c>
      <c r="N16" s="39">
        <v>1</v>
      </c>
      <c r="O16" s="39">
        <v>0</v>
      </c>
      <c r="P16" s="39">
        <v>1</v>
      </c>
      <c r="Q16" s="40">
        <v>0</v>
      </c>
      <c r="R16" s="39">
        <v>0.5</v>
      </c>
      <c r="S16" s="39">
        <v>3</v>
      </c>
      <c r="T16" s="40">
        <v>1</v>
      </c>
      <c r="U16" s="39">
        <v>3</v>
      </c>
      <c r="V16" s="39" t="s">
        <v>189</v>
      </c>
      <c r="W16" s="40">
        <v>21.5</v>
      </c>
      <c r="X16" s="41">
        <v>3</v>
      </c>
      <c r="Y16" s="41">
        <v>4</v>
      </c>
      <c r="Z16" s="41">
        <v>37.25</v>
      </c>
      <c r="AA16" s="41">
        <v>0</v>
      </c>
      <c r="AB16" s="41">
        <v>0</v>
      </c>
      <c r="AC16" s="41">
        <v>1</v>
      </c>
      <c r="AD16" s="41">
        <v>0</v>
      </c>
      <c r="AE16" s="41">
        <v>0</v>
      </c>
      <c r="AF16" s="41">
        <v>0</v>
      </c>
    </row>
    <row r="17" spans="1:32" x14ac:dyDescent="0.3">
      <c r="A17" s="38" t="s">
        <v>30</v>
      </c>
      <c r="B17" s="39">
        <v>1</v>
      </c>
      <c r="C17" s="39">
        <v>0</v>
      </c>
      <c r="D17" s="39">
        <v>0.33</v>
      </c>
      <c r="E17" s="39">
        <v>0.33</v>
      </c>
      <c r="F17" s="39">
        <v>0.33</v>
      </c>
      <c r="G17" s="39">
        <v>3.84</v>
      </c>
      <c r="H17" s="39">
        <v>0.2</v>
      </c>
      <c r="I17" s="39">
        <v>0.2</v>
      </c>
      <c r="J17" s="39">
        <v>0.2</v>
      </c>
      <c r="K17" s="39">
        <v>0.2</v>
      </c>
      <c r="L17" s="39">
        <v>0.2</v>
      </c>
      <c r="M17" s="40">
        <v>3</v>
      </c>
      <c r="N17" s="39">
        <v>1</v>
      </c>
      <c r="O17" s="39">
        <v>0</v>
      </c>
      <c r="P17" s="39">
        <v>1</v>
      </c>
      <c r="Q17" s="40">
        <v>1</v>
      </c>
      <c r="R17" s="39">
        <v>0.5</v>
      </c>
      <c r="S17" s="39">
        <v>3</v>
      </c>
      <c r="T17" s="40">
        <v>1</v>
      </c>
      <c r="U17" s="39">
        <v>4</v>
      </c>
      <c r="V17" s="39" t="s">
        <v>189</v>
      </c>
      <c r="W17" s="40">
        <v>30.5</v>
      </c>
      <c r="X17" s="41">
        <v>3</v>
      </c>
      <c r="Y17" s="41">
        <v>17</v>
      </c>
      <c r="Z17" s="41">
        <v>56.25</v>
      </c>
      <c r="AA17" s="41">
        <v>0</v>
      </c>
      <c r="AB17" s="41">
        <v>0</v>
      </c>
      <c r="AC17" s="41">
        <v>1</v>
      </c>
      <c r="AD17" s="41">
        <v>1</v>
      </c>
      <c r="AE17" s="41">
        <v>0</v>
      </c>
      <c r="AF17" s="41">
        <v>0</v>
      </c>
    </row>
    <row r="18" spans="1:32" x14ac:dyDescent="0.3">
      <c r="A18" s="38" t="s">
        <v>31</v>
      </c>
      <c r="B18" s="39">
        <v>0</v>
      </c>
      <c r="C18" s="39">
        <v>0</v>
      </c>
      <c r="D18" s="39">
        <v>0.5</v>
      </c>
      <c r="E18" s="39">
        <v>0.5</v>
      </c>
      <c r="F18" s="39">
        <v>0</v>
      </c>
      <c r="G18" s="39">
        <v>1.41</v>
      </c>
      <c r="H18" s="39">
        <v>0.33</v>
      </c>
      <c r="I18" s="39">
        <v>0.33</v>
      </c>
      <c r="J18" s="39">
        <v>0.33</v>
      </c>
      <c r="K18" s="39">
        <v>0</v>
      </c>
      <c r="L18" s="39">
        <v>0</v>
      </c>
      <c r="M18" s="40">
        <v>3</v>
      </c>
      <c r="N18" s="39">
        <v>1</v>
      </c>
      <c r="O18" s="39">
        <v>0</v>
      </c>
      <c r="P18" s="39">
        <v>1</v>
      </c>
      <c r="Q18" s="40">
        <v>0</v>
      </c>
      <c r="R18" s="39">
        <v>0.5</v>
      </c>
      <c r="S18" s="39">
        <v>3</v>
      </c>
      <c r="T18" s="40">
        <v>1</v>
      </c>
      <c r="U18" s="39">
        <v>2</v>
      </c>
      <c r="V18" s="39" t="s">
        <v>190</v>
      </c>
      <c r="W18" s="40">
        <v>22</v>
      </c>
      <c r="X18" s="41">
        <v>3</v>
      </c>
      <c r="Y18" s="41">
        <v>2</v>
      </c>
      <c r="Z18" s="41">
        <v>43</v>
      </c>
      <c r="AA18" s="41">
        <v>0</v>
      </c>
      <c r="AB18" s="41">
        <v>1</v>
      </c>
      <c r="AC18" s="41">
        <v>0</v>
      </c>
      <c r="AD18" s="41">
        <v>0</v>
      </c>
      <c r="AE18" s="41">
        <v>0</v>
      </c>
      <c r="AF18" s="41">
        <v>0</v>
      </c>
    </row>
    <row r="19" spans="1:32" x14ac:dyDescent="0.3">
      <c r="A19" s="38" t="s">
        <v>32</v>
      </c>
      <c r="B19" s="39">
        <v>0</v>
      </c>
      <c r="C19" s="39">
        <v>0</v>
      </c>
      <c r="D19" s="39">
        <v>0.33</v>
      </c>
      <c r="E19" s="39">
        <v>0.33</v>
      </c>
      <c r="F19" s="39">
        <v>0.33</v>
      </c>
      <c r="G19" s="39">
        <v>4.8499999999999996</v>
      </c>
      <c r="H19" s="39">
        <v>0.2</v>
      </c>
      <c r="I19" s="39">
        <v>0.2</v>
      </c>
      <c r="J19" s="39">
        <v>0.2</v>
      </c>
      <c r="K19" s="39">
        <v>0.2</v>
      </c>
      <c r="L19" s="39">
        <v>0.2</v>
      </c>
      <c r="M19" s="40">
        <v>3</v>
      </c>
      <c r="N19" s="39">
        <v>1</v>
      </c>
      <c r="O19" s="39">
        <v>0</v>
      </c>
      <c r="P19" s="39">
        <v>1</v>
      </c>
      <c r="Q19" s="40">
        <v>1</v>
      </c>
      <c r="R19" s="39">
        <v>0.5</v>
      </c>
      <c r="S19" s="39">
        <v>3</v>
      </c>
      <c r="T19" s="40">
        <v>1</v>
      </c>
      <c r="U19" s="39">
        <v>4</v>
      </c>
      <c r="V19" s="39" t="s">
        <v>189</v>
      </c>
      <c r="W19" s="40">
        <v>25</v>
      </c>
      <c r="X19" s="41">
        <v>3</v>
      </c>
      <c r="Y19" s="41">
        <v>10</v>
      </c>
      <c r="Z19" s="41">
        <v>44.5</v>
      </c>
      <c r="AA19" s="41">
        <v>0</v>
      </c>
      <c r="AB19" s="41">
        <v>0</v>
      </c>
      <c r="AC19" s="41">
        <v>1</v>
      </c>
      <c r="AD19" s="41">
        <v>0</v>
      </c>
      <c r="AE19" s="41">
        <v>0</v>
      </c>
      <c r="AF19" s="41">
        <v>0</v>
      </c>
    </row>
    <row r="20" spans="1:32" x14ac:dyDescent="0.3">
      <c r="A20" s="38" t="s">
        <v>33</v>
      </c>
      <c r="B20" s="39">
        <v>0</v>
      </c>
      <c r="C20" s="39">
        <v>0</v>
      </c>
      <c r="D20" s="39">
        <v>0.33</v>
      </c>
      <c r="E20" s="39">
        <v>0.33</v>
      </c>
      <c r="F20" s="39">
        <v>0.33</v>
      </c>
      <c r="G20" s="39">
        <v>2.1800000000000002</v>
      </c>
      <c r="H20" s="39">
        <v>0.25</v>
      </c>
      <c r="I20" s="39">
        <v>0.25</v>
      </c>
      <c r="J20" s="39">
        <v>0.25</v>
      </c>
      <c r="K20" s="39">
        <v>0.25</v>
      </c>
      <c r="L20" s="39">
        <v>0</v>
      </c>
      <c r="M20" s="40">
        <v>3</v>
      </c>
      <c r="N20" s="39">
        <v>1</v>
      </c>
      <c r="O20" s="39">
        <v>1</v>
      </c>
      <c r="P20" s="39">
        <v>0</v>
      </c>
      <c r="Q20" s="40">
        <v>1</v>
      </c>
      <c r="R20" s="39">
        <v>0.5</v>
      </c>
      <c r="S20" s="39">
        <v>3</v>
      </c>
      <c r="T20" s="40">
        <v>1</v>
      </c>
      <c r="U20" s="39">
        <v>4</v>
      </c>
      <c r="V20" s="39" t="s">
        <v>189</v>
      </c>
      <c r="W20" s="40">
        <v>22.5</v>
      </c>
      <c r="X20" s="41">
        <v>3</v>
      </c>
      <c r="Y20" s="41">
        <v>4</v>
      </c>
      <c r="Z20" s="41">
        <v>41.5</v>
      </c>
      <c r="AA20" s="41"/>
      <c r="AB20" s="41"/>
      <c r="AC20" s="41"/>
      <c r="AD20" s="41"/>
      <c r="AE20" s="41"/>
      <c r="AF20" s="41"/>
    </row>
    <row r="21" spans="1:32" x14ac:dyDescent="0.3">
      <c r="A21" s="38" t="s">
        <v>34</v>
      </c>
      <c r="B21" s="39">
        <v>0</v>
      </c>
      <c r="C21" s="39">
        <v>1</v>
      </c>
      <c r="D21" s="39">
        <v>0.5</v>
      </c>
      <c r="E21" s="39">
        <v>0.5</v>
      </c>
      <c r="F21" s="39">
        <v>0</v>
      </c>
      <c r="G21" s="39">
        <v>1.94</v>
      </c>
      <c r="H21" s="39">
        <v>0</v>
      </c>
      <c r="I21" s="39">
        <v>0.33</v>
      </c>
      <c r="J21" s="39">
        <v>0.33</v>
      </c>
      <c r="K21" s="39">
        <v>0.33</v>
      </c>
      <c r="L21" s="39">
        <v>0</v>
      </c>
      <c r="M21" s="40">
        <v>2</v>
      </c>
      <c r="N21" s="39">
        <v>1</v>
      </c>
      <c r="O21" s="39">
        <v>0</v>
      </c>
      <c r="P21" s="39">
        <v>1</v>
      </c>
      <c r="Q21" s="40">
        <v>0</v>
      </c>
      <c r="R21" s="39">
        <v>0.5</v>
      </c>
      <c r="S21" s="39">
        <v>2</v>
      </c>
      <c r="T21" s="40">
        <v>1</v>
      </c>
      <c r="U21" s="39">
        <v>4</v>
      </c>
      <c r="V21" s="39" t="s">
        <v>189</v>
      </c>
      <c r="W21" s="40">
        <v>13</v>
      </c>
      <c r="X21" s="41">
        <v>3</v>
      </c>
      <c r="Y21" s="41">
        <v>5</v>
      </c>
      <c r="Z21" s="41">
        <v>25</v>
      </c>
      <c r="AA21" s="41">
        <v>1</v>
      </c>
      <c r="AB21" s="41">
        <v>1</v>
      </c>
      <c r="AC21" s="41">
        <v>0</v>
      </c>
      <c r="AD21" s="41">
        <v>0</v>
      </c>
      <c r="AE21" s="41">
        <v>0</v>
      </c>
      <c r="AF21" s="41">
        <v>1</v>
      </c>
    </row>
    <row r="22" spans="1:32" x14ac:dyDescent="0.3">
      <c r="A22" s="38" t="s">
        <v>35</v>
      </c>
      <c r="X22" s="41">
        <v>3</v>
      </c>
      <c r="Y22" s="41">
        <v>2</v>
      </c>
      <c r="Z22" s="41">
        <v>23.5</v>
      </c>
      <c r="AA22" s="41">
        <v>0</v>
      </c>
      <c r="AB22" s="41">
        <v>0</v>
      </c>
      <c r="AC22" s="41">
        <v>1</v>
      </c>
      <c r="AD22" s="41">
        <v>0</v>
      </c>
      <c r="AE22" s="41">
        <v>0</v>
      </c>
      <c r="AF22" s="41">
        <v>0</v>
      </c>
    </row>
    <row r="23" spans="1:32" x14ac:dyDescent="0.3">
      <c r="A23" s="38" t="s">
        <v>36</v>
      </c>
      <c r="B23" s="39">
        <v>0</v>
      </c>
      <c r="C23" s="39">
        <v>1</v>
      </c>
      <c r="D23" s="39">
        <v>0.5</v>
      </c>
      <c r="E23" s="39">
        <v>0.5</v>
      </c>
      <c r="F23" s="39">
        <v>0</v>
      </c>
      <c r="G23" s="39">
        <v>7.45</v>
      </c>
      <c r="H23" s="39">
        <v>0.5</v>
      </c>
      <c r="I23" s="39">
        <v>0</v>
      </c>
      <c r="J23" s="39">
        <v>0.5</v>
      </c>
      <c r="K23" s="39">
        <v>0</v>
      </c>
      <c r="L23" s="39">
        <v>0</v>
      </c>
      <c r="M23" s="40">
        <v>2</v>
      </c>
      <c r="N23" s="39">
        <v>3</v>
      </c>
      <c r="O23" s="39">
        <v>0.5</v>
      </c>
      <c r="P23" s="39">
        <v>0.5</v>
      </c>
      <c r="Q23" s="40">
        <v>0</v>
      </c>
      <c r="R23" s="39">
        <v>0.5</v>
      </c>
      <c r="S23" s="39">
        <v>3</v>
      </c>
      <c r="T23" s="40">
        <v>3</v>
      </c>
      <c r="U23" s="39">
        <v>5</v>
      </c>
      <c r="V23" s="39" t="s">
        <v>192</v>
      </c>
      <c r="W23" s="40">
        <v>15</v>
      </c>
      <c r="X23" s="41">
        <v>2</v>
      </c>
      <c r="Y23" s="41">
        <v>48</v>
      </c>
      <c r="Z23" s="41">
        <v>25.75</v>
      </c>
      <c r="AA23" s="41">
        <v>0</v>
      </c>
      <c r="AB23" s="41">
        <v>1</v>
      </c>
      <c r="AC23" s="41">
        <v>0</v>
      </c>
      <c r="AD23" s="41">
        <v>1</v>
      </c>
      <c r="AE23" s="41">
        <v>0</v>
      </c>
      <c r="AF23" s="41">
        <v>0</v>
      </c>
    </row>
    <row r="24" spans="1:32" x14ac:dyDescent="0.3">
      <c r="A24" s="38" t="s">
        <v>37</v>
      </c>
      <c r="B24" s="44">
        <v>0</v>
      </c>
      <c r="C24" s="44">
        <v>1</v>
      </c>
      <c r="D24" s="44">
        <v>0.5</v>
      </c>
      <c r="E24" s="44">
        <v>0.5</v>
      </c>
      <c r="F24" s="44">
        <v>0</v>
      </c>
      <c r="G24" s="44">
        <v>1</v>
      </c>
      <c r="H24" s="44">
        <v>0</v>
      </c>
      <c r="I24" s="44">
        <v>0</v>
      </c>
      <c r="J24" s="44">
        <v>0.5</v>
      </c>
      <c r="K24" s="44">
        <v>0.5</v>
      </c>
      <c r="L24" s="44">
        <v>0</v>
      </c>
      <c r="M24" s="45">
        <v>1</v>
      </c>
      <c r="N24" s="44">
        <v>4</v>
      </c>
      <c r="O24" s="44">
        <v>0.5</v>
      </c>
      <c r="P24" s="44">
        <v>0.5</v>
      </c>
      <c r="Q24" s="45">
        <v>0</v>
      </c>
      <c r="R24" s="44">
        <v>0.5</v>
      </c>
      <c r="S24" s="44">
        <v>1</v>
      </c>
      <c r="T24" s="45">
        <v>1</v>
      </c>
      <c r="U24" s="44">
        <v>3</v>
      </c>
      <c r="V24" s="44" t="s">
        <v>191</v>
      </c>
      <c r="W24" s="45">
        <v>13</v>
      </c>
      <c r="X24" s="41">
        <v>1</v>
      </c>
      <c r="Y24" s="41">
        <v>1</v>
      </c>
      <c r="Z24" s="41">
        <v>32</v>
      </c>
      <c r="AA24" s="41">
        <v>1</v>
      </c>
      <c r="AB24" s="41">
        <v>1</v>
      </c>
      <c r="AC24" s="41">
        <v>0</v>
      </c>
      <c r="AD24" s="41">
        <v>0</v>
      </c>
      <c r="AE24" s="41">
        <v>0</v>
      </c>
      <c r="AF24" s="41">
        <v>1</v>
      </c>
    </row>
    <row r="25" spans="1:32" x14ac:dyDescent="0.3">
      <c r="A25" s="38" t="s">
        <v>38</v>
      </c>
      <c r="X25" s="41">
        <v>3</v>
      </c>
      <c r="Y25" s="41">
        <v>7</v>
      </c>
      <c r="Z25" s="41">
        <v>33</v>
      </c>
      <c r="AA25" s="41">
        <v>0</v>
      </c>
      <c r="AB25" s="41">
        <v>1</v>
      </c>
      <c r="AC25" s="41">
        <v>0</v>
      </c>
      <c r="AD25" s="41">
        <v>0</v>
      </c>
      <c r="AE25" s="41">
        <v>0</v>
      </c>
      <c r="AF25" s="41">
        <v>0</v>
      </c>
    </row>
    <row r="26" spans="1:32" x14ac:dyDescent="0.3">
      <c r="A26" s="38" t="s">
        <v>39</v>
      </c>
      <c r="B26" s="39">
        <v>0</v>
      </c>
      <c r="C26" s="39">
        <v>1</v>
      </c>
      <c r="D26" s="39">
        <v>0.5</v>
      </c>
      <c r="E26" s="39">
        <v>0.5</v>
      </c>
      <c r="F26" s="39">
        <v>0</v>
      </c>
      <c r="G26" s="39">
        <v>4.38</v>
      </c>
      <c r="H26" s="39">
        <v>0.25</v>
      </c>
      <c r="I26" s="39">
        <v>0.25</v>
      </c>
      <c r="J26" s="39">
        <v>0.25</v>
      </c>
      <c r="K26" s="39">
        <v>0.25</v>
      </c>
      <c r="L26" s="39">
        <v>0</v>
      </c>
      <c r="M26" s="40">
        <v>3</v>
      </c>
      <c r="N26" s="39">
        <v>2</v>
      </c>
      <c r="O26" s="39">
        <v>0.5</v>
      </c>
      <c r="P26" s="39">
        <v>0.5</v>
      </c>
      <c r="Q26" s="40">
        <v>1</v>
      </c>
      <c r="R26" s="39">
        <v>0</v>
      </c>
      <c r="S26" s="39">
        <v>2</v>
      </c>
      <c r="T26" s="40">
        <v>2</v>
      </c>
      <c r="U26" s="39">
        <v>4</v>
      </c>
      <c r="V26" s="39" t="s">
        <v>190</v>
      </c>
      <c r="W26" s="40">
        <v>12.5</v>
      </c>
      <c r="X26" s="41">
        <v>3</v>
      </c>
      <c r="Y26" s="41">
        <v>10</v>
      </c>
      <c r="Z26" s="41">
        <v>25</v>
      </c>
      <c r="AA26" s="41">
        <v>0</v>
      </c>
      <c r="AB26" s="41">
        <v>1</v>
      </c>
      <c r="AC26" s="41">
        <v>0</v>
      </c>
      <c r="AD26" s="41">
        <v>0</v>
      </c>
      <c r="AE26" s="41">
        <v>0</v>
      </c>
      <c r="AF26" s="41">
        <v>0</v>
      </c>
    </row>
    <row r="27" spans="1:32" x14ac:dyDescent="0.3">
      <c r="A27" s="38" t="s">
        <v>40</v>
      </c>
      <c r="B27" s="39">
        <v>0</v>
      </c>
      <c r="C27" s="39">
        <v>1</v>
      </c>
      <c r="D27" s="39">
        <v>0.5</v>
      </c>
      <c r="E27" s="39">
        <v>0.5</v>
      </c>
      <c r="F27" s="39">
        <v>0</v>
      </c>
      <c r="G27" s="39">
        <v>1</v>
      </c>
      <c r="H27" s="39">
        <v>0</v>
      </c>
      <c r="I27" s="39">
        <v>0.5</v>
      </c>
      <c r="J27" s="39">
        <v>0.5</v>
      </c>
      <c r="K27" s="39">
        <v>0</v>
      </c>
      <c r="L27" s="39">
        <v>0</v>
      </c>
      <c r="M27" s="40">
        <v>2</v>
      </c>
      <c r="N27" s="39">
        <v>1</v>
      </c>
      <c r="O27" s="39">
        <v>0.5</v>
      </c>
      <c r="P27" s="39">
        <v>0.5</v>
      </c>
      <c r="Q27" s="40">
        <v>0</v>
      </c>
      <c r="R27" s="39">
        <v>1</v>
      </c>
      <c r="S27" s="39">
        <v>2</v>
      </c>
      <c r="T27" s="40">
        <v>2</v>
      </c>
      <c r="U27" s="39">
        <v>2</v>
      </c>
      <c r="V27" s="39" t="s">
        <v>190</v>
      </c>
      <c r="W27" s="40">
        <v>14.5</v>
      </c>
      <c r="X27" s="41">
        <v>1</v>
      </c>
      <c r="Y27" s="41">
        <v>2</v>
      </c>
      <c r="Z27" s="41">
        <v>29</v>
      </c>
      <c r="AA27" s="41"/>
      <c r="AB27" s="41"/>
      <c r="AC27" s="41"/>
      <c r="AD27" s="41"/>
      <c r="AE27" s="41"/>
      <c r="AF27" s="41"/>
    </row>
    <row r="28" spans="1:32" x14ac:dyDescent="0.3">
      <c r="A28" s="38" t="s">
        <v>41</v>
      </c>
      <c r="B28" s="39">
        <v>0</v>
      </c>
      <c r="C28" s="39">
        <v>0</v>
      </c>
      <c r="D28" s="39">
        <v>0.33</v>
      </c>
      <c r="E28" s="39">
        <v>0.33</v>
      </c>
      <c r="F28" s="39">
        <v>0.33</v>
      </c>
      <c r="G28" s="39">
        <v>1.41</v>
      </c>
      <c r="H28" s="39">
        <v>0</v>
      </c>
      <c r="I28" s="39">
        <v>0.33</v>
      </c>
      <c r="J28" s="39">
        <v>0.33</v>
      </c>
      <c r="K28" s="39">
        <v>0.33</v>
      </c>
      <c r="L28" s="39">
        <v>0</v>
      </c>
      <c r="M28" s="40">
        <v>3</v>
      </c>
      <c r="N28" s="39">
        <v>1</v>
      </c>
      <c r="O28" s="39">
        <v>0</v>
      </c>
      <c r="P28" s="39">
        <v>1</v>
      </c>
      <c r="Q28" s="40">
        <v>0</v>
      </c>
      <c r="R28" s="39">
        <v>0.5</v>
      </c>
      <c r="S28" s="39">
        <v>2</v>
      </c>
      <c r="T28" s="40">
        <v>1</v>
      </c>
      <c r="U28" s="39">
        <v>5</v>
      </c>
      <c r="V28" s="39" t="s">
        <v>192</v>
      </c>
      <c r="W28" s="40">
        <v>13.5</v>
      </c>
      <c r="X28" s="41">
        <v>3</v>
      </c>
      <c r="Y28" s="41">
        <v>2</v>
      </c>
      <c r="Z28" s="41">
        <v>25.5</v>
      </c>
      <c r="AA28" s="41">
        <v>0</v>
      </c>
      <c r="AB28" s="41">
        <v>1</v>
      </c>
      <c r="AC28" s="41">
        <v>1</v>
      </c>
      <c r="AD28" s="41">
        <v>0</v>
      </c>
      <c r="AE28" s="41">
        <v>0</v>
      </c>
      <c r="AF28" s="41">
        <v>0</v>
      </c>
    </row>
    <row r="29" spans="1:32" x14ac:dyDescent="0.3">
      <c r="A29" s="38" t="s">
        <v>42</v>
      </c>
      <c r="B29" s="39">
        <v>0</v>
      </c>
      <c r="C29" s="39">
        <v>1</v>
      </c>
      <c r="D29" s="39">
        <v>0.33</v>
      </c>
      <c r="E29" s="39">
        <v>0.33</v>
      </c>
      <c r="F29" s="39">
        <v>0.33</v>
      </c>
      <c r="G29" s="39">
        <v>3.46</v>
      </c>
      <c r="H29" s="39">
        <v>0</v>
      </c>
      <c r="I29" s="39">
        <v>0.25</v>
      </c>
      <c r="J29" s="39">
        <v>0.25</v>
      </c>
      <c r="K29" s="39">
        <v>0.25</v>
      </c>
      <c r="L29" s="39">
        <v>0.25</v>
      </c>
      <c r="M29" s="40">
        <v>2</v>
      </c>
      <c r="N29" s="39">
        <v>1</v>
      </c>
      <c r="O29" s="39">
        <v>0.5</v>
      </c>
      <c r="P29" s="39">
        <v>0.5</v>
      </c>
      <c r="Q29" s="40">
        <v>0</v>
      </c>
      <c r="R29" s="39">
        <v>0.5</v>
      </c>
      <c r="S29" s="39">
        <v>2</v>
      </c>
      <c r="T29" s="40">
        <v>3</v>
      </c>
      <c r="U29" s="39">
        <v>4</v>
      </c>
      <c r="V29" s="39" t="s">
        <v>189</v>
      </c>
      <c r="W29" s="40">
        <v>16</v>
      </c>
      <c r="X29" s="41">
        <v>3</v>
      </c>
      <c r="Y29" s="41">
        <v>12</v>
      </c>
      <c r="Z29" s="41">
        <v>29.25</v>
      </c>
      <c r="AA29" s="41">
        <v>1</v>
      </c>
      <c r="AB29" s="41">
        <v>1</v>
      </c>
      <c r="AC29" s="41">
        <v>0</v>
      </c>
      <c r="AD29" s="41">
        <v>0</v>
      </c>
      <c r="AE29" s="41">
        <v>0</v>
      </c>
      <c r="AF29" s="41">
        <v>1</v>
      </c>
    </row>
    <row r="30" spans="1:32" x14ac:dyDescent="0.3">
      <c r="A30" s="38" t="s">
        <v>43</v>
      </c>
      <c r="B30" s="46">
        <v>0</v>
      </c>
      <c r="C30" s="46">
        <v>1</v>
      </c>
      <c r="D30" s="46">
        <v>0.5</v>
      </c>
      <c r="E30" s="46">
        <v>0.5</v>
      </c>
      <c r="F30" s="46">
        <v>0</v>
      </c>
      <c r="G30" s="46">
        <v>1</v>
      </c>
      <c r="H30" s="46">
        <v>0</v>
      </c>
      <c r="I30" s="46">
        <v>0</v>
      </c>
      <c r="J30" s="46">
        <v>1</v>
      </c>
      <c r="K30" s="46">
        <v>0</v>
      </c>
      <c r="L30" s="46">
        <v>0</v>
      </c>
      <c r="M30" s="47">
        <v>1</v>
      </c>
      <c r="N30" s="46">
        <v>3</v>
      </c>
      <c r="O30" s="46">
        <v>0.5</v>
      </c>
      <c r="P30" s="46">
        <v>0.5</v>
      </c>
      <c r="Q30" s="47">
        <v>0</v>
      </c>
      <c r="R30" s="46">
        <v>0.5</v>
      </c>
      <c r="S30" s="46">
        <v>1</v>
      </c>
      <c r="T30" s="47">
        <v>2</v>
      </c>
      <c r="U30" s="46">
        <v>3</v>
      </c>
      <c r="V30" s="46" t="s">
        <v>191</v>
      </c>
      <c r="W30" s="47">
        <v>15</v>
      </c>
      <c r="X30" s="41">
        <v>1</v>
      </c>
      <c r="Y30" s="41">
        <v>1</v>
      </c>
      <c r="Z30" s="41">
        <v>30</v>
      </c>
      <c r="AA30" s="41">
        <v>0</v>
      </c>
      <c r="AB30" s="41">
        <v>1</v>
      </c>
      <c r="AC30" s="41">
        <v>0</v>
      </c>
      <c r="AD30" s="41">
        <v>1</v>
      </c>
      <c r="AE30" s="41">
        <v>1</v>
      </c>
      <c r="AF30" s="41">
        <v>0</v>
      </c>
    </row>
    <row r="31" spans="1:32" x14ac:dyDescent="0.3">
      <c r="A31" s="38" t="s">
        <v>44</v>
      </c>
      <c r="B31" s="39">
        <v>0</v>
      </c>
      <c r="C31" s="39">
        <v>1</v>
      </c>
      <c r="D31" s="39">
        <v>0.5</v>
      </c>
      <c r="E31" s="39">
        <v>0.5</v>
      </c>
      <c r="F31" s="39">
        <v>0</v>
      </c>
      <c r="G31" s="39">
        <v>1</v>
      </c>
      <c r="H31" s="39">
        <v>0</v>
      </c>
      <c r="I31" s="39">
        <v>0.5</v>
      </c>
      <c r="J31" s="39">
        <v>0.5</v>
      </c>
      <c r="K31" s="39">
        <v>0</v>
      </c>
      <c r="L31" s="39">
        <v>0</v>
      </c>
      <c r="M31" s="40">
        <v>1</v>
      </c>
      <c r="N31" s="39">
        <v>3</v>
      </c>
      <c r="O31" s="39">
        <v>0.5</v>
      </c>
      <c r="P31" s="39">
        <v>0.5</v>
      </c>
      <c r="Q31" s="40">
        <v>0</v>
      </c>
      <c r="R31" s="39">
        <v>0</v>
      </c>
      <c r="S31" s="39">
        <v>1</v>
      </c>
      <c r="T31" s="40">
        <v>1</v>
      </c>
      <c r="U31" s="39">
        <v>3</v>
      </c>
      <c r="V31" s="39" t="s">
        <v>191</v>
      </c>
      <c r="W31" s="40">
        <v>17</v>
      </c>
      <c r="X31" s="41">
        <v>1</v>
      </c>
      <c r="Y31" s="41">
        <v>1</v>
      </c>
      <c r="Z31" s="41">
        <v>34</v>
      </c>
      <c r="AA31" s="41">
        <v>0</v>
      </c>
      <c r="AB31" s="41">
        <v>1</v>
      </c>
      <c r="AC31" s="41">
        <v>0</v>
      </c>
      <c r="AD31" s="41">
        <v>0</v>
      </c>
      <c r="AE31" s="41">
        <v>0</v>
      </c>
      <c r="AF31" s="41">
        <v>0</v>
      </c>
    </row>
    <row r="32" spans="1:32" x14ac:dyDescent="0.3">
      <c r="A32" s="38" t="s">
        <v>45</v>
      </c>
      <c r="B32" s="43">
        <v>0</v>
      </c>
      <c r="C32" s="43">
        <v>0</v>
      </c>
      <c r="D32" s="43">
        <v>0.5</v>
      </c>
      <c r="E32" s="43">
        <v>0.5</v>
      </c>
      <c r="F32" s="43">
        <v>0</v>
      </c>
      <c r="G32" s="43">
        <v>1</v>
      </c>
      <c r="H32" s="43">
        <v>0</v>
      </c>
      <c r="I32" s="43">
        <v>0.5</v>
      </c>
      <c r="J32" s="43">
        <v>0.5</v>
      </c>
      <c r="K32" s="43">
        <v>0</v>
      </c>
      <c r="L32" s="43">
        <v>0</v>
      </c>
      <c r="M32" s="42">
        <v>1</v>
      </c>
      <c r="N32" s="43">
        <v>1</v>
      </c>
      <c r="O32" s="43">
        <v>0</v>
      </c>
      <c r="P32" s="43">
        <v>1</v>
      </c>
      <c r="Q32" s="42">
        <v>0</v>
      </c>
      <c r="R32" s="43">
        <v>0</v>
      </c>
      <c r="S32" s="43">
        <v>2</v>
      </c>
      <c r="T32" s="42">
        <v>4</v>
      </c>
      <c r="U32" s="43">
        <v>4</v>
      </c>
      <c r="V32" s="43" t="s">
        <v>189</v>
      </c>
      <c r="W32" s="42">
        <v>36</v>
      </c>
      <c r="X32" s="41">
        <v>2</v>
      </c>
      <c r="Y32" s="41">
        <v>1</v>
      </c>
      <c r="Z32" s="41">
        <v>72</v>
      </c>
      <c r="AA32" s="41">
        <v>1</v>
      </c>
      <c r="AB32" s="41">
        <v>1</v>
      </c>
      <c r="AC32" s="41">
        <v>0</v>
      </c>
      <c r="AD32" s="41">
        <v>0</v>
      </c>
      <c r="AE32" s="41">
        <v>0</v>
      </c>
      <c r="AF32" s="41">
        <v>0</v>
      </c>
    </row>
    <row r="33" spans="1:32" x14ac:dyDescent="0.3">
      <c r="A33" s="38" t="s">
        <v>46</v>
      </c>
      <c r="B33" s="44">
        <v>0</v>
      </c>
      <c r="C33" s="44">
        <v>0</v>
      </c>
      <c r="D33" s="44">
        <v>0.5</v>
      </c>
      <c r="E33" s="44">
        <v>0.5</v>
      </c>
      <c r="F33" s="44">
        <v>0</v>
      </c>
      <c r="G33" s="44">
        <v>1</v>
      </c>
      <c r="H33" s="44">
        <v>0</v>
      </c>
      <c r="I33" s="44">
        <v>0</v>
      </c>
      <c r="J33" s="44">
        <v>0.5</v>
      </c>
      <c r="K33" s="44">
        <v>0.5</v>
      </c>
      <c r="L33" s="44">
        <v>0</v>
      </c>
      <c r="M33" s="45">
        <v>1</v>
      </c>
      <c r="N33" s="44">
        <v>1</v>
      </c>
      <c r="O33" s="44">
        <v>0</v>
      </c>
      <c r="P33" s="44">
        <v>1</v>
      </c>
      <c r="Q33" s="45">
        <v>0</v>
      </c>
      <c r="R33" s="44">
        <v>0</v>
      </c>
      <c r="S33" s="44">
        <v>2</v>
      </c>
      <c r="T33" s="45">
        <v>2</v>
      </c>
      <c r="U33" s="44">
        <v>4</v>
      </c>
      <c r="V33" s="44" t="s">
        <v>189</v>
      </c>
      <c r="W33" s="45">
        <v>31</v>
      </c>
      <c r="X33" s="41">
        <v>1</v>
      </c>
      <c r="Y33" s="41">
        <v>1</v>
      </c>
      <c r="Z33" s="41">
        <v>60.75</v>
      </c>
      <c r="AA33" s="41">
        <v>0</v>
      </c>
      <c r="AB33" s="41">
        <v>0</v>
      </c>
      <c r="AC33" s="41">
        <v>1</v>
      </c>
      <c r="AD33" s="41">
        <v>0</v>
      </c>
      <c r="AE33" s="41">
        <v>0</v>
      </c>
      <c r="AF33" s="41">
        <v>0</v>
      </c>
    </row>
    <row r="34" spans="1:32" x14ac:dyDescent="0.3">
      <c r="A34" s="38" t="s">
        <v>47</v>
      </c>
      <c r="B34" s="39">
        <v>0</v>
      </c>
      <c r="C34" s="39">
        <v>0</v>
      </c>
      <c r="D34" s="39">
        <v>0.5</v>
      </c>
      <c r="E34" s="39">
        <v>0.5</v>
      </c>
      <c r="F34" s="39">
        <v>0</v>
      </c>
      <c r="G34" s="39">
        <v>1.41</v>
      </c>
      <c r="H34" s="39">
        <v>0</v>
      </c>
      <c r="I34" s="39">
        <v>0</v>
      </c>
      <c r="J34" s="39">
        <v>0.5</v>
      </c>
      <c r="K34" s="39">
        <v>0.5</v>
      </c>
      <c r="L34" s="39">
        <v>0</v>
      </c>
      <c r="M34" s="40">
        <v>1</v>
      </c>
      <c r="N34" s="39">
        <v>2</v>
      </c>
      <c r="O34" s="39">
        <v>0</v>
      </c>
      <c r="P34" s="39">
        <v>1</v>
      </c>
      <c r="Q34" s="40">
        <v>0</v>
      </c>
      <c r="R34" s="39">
        <v>0</v>
      </c>
      <c r="S34" s="39">
        <v>2</v>
      </c>
      <c r="T34" s="40">
        <v>4</v>
      </c>
      <c r="U34" s="39">
        <v>4</v>
      </c>
      <c r="V34" s="39" t="s">
        <v>189</v>
      </c>
      <c r="W34" s="40">
        <v>34.5</v>
      </c>
      <c r="X34" s="41">
        <v>1</v>
      </c>
      <c r="Y34" s="41">
        <v>3</v>
      </c>
      <c r="Z34" s="41">
        <v>73</v>
      </c>
      <c r="AA34" s="41">
        <v>1</v>
      </c>
      <c r="AB34" s="41">
        <v>0</v>
      </c>
      <c r="AC34" s="41">
        <v>0</v>
      </c>
      <c r="AD34" s="41">
        <v>0</v>
      </c>
      <c r="AE34" s="41">
        <v>0</v>
      </c>
      <c r="AF34" s="41">
        <v>0</v>
      </c>
    </row>
    <row r="35" spans="1:32" x14ac:dyDescent="0.3">
      <c r="A35" s="38" t="s">
        <v>48</v>
      </c>
      <c r="B35" s="39">
        <v>0</v>
      </c>
      <c r="C35" s="39">
        <v>0</v>
      </c>
      <c r="D35" s="39">
        <v>0.33</v>
      </c>
      <c r="E35" s="39">
        <v>0.33</v>
      </c>
      <c r="F35" s="39">
        <v>0.33</v>
      </c>
      <c r="G35" s="39">
        <v>1</v>
      </c>
      <c r="H35" s="39">
        <v>0</v>
      </c>
      <c r="I35" s="39">
        <v>0.33</v>
      </c>
      <c r="J35" s="39">
        <v>0.33</v>
      </c>
      <c r="K35" s="39">
        <v>0.33</v>
      </c>
      <c r="L35" s="39">
        <v>0</v>
      </c>
      <c r="M35" s="40">
        <v>2</v>
      </c>
      <c r="N35" s="39">
        <v>2</v>
      </c>
      <c r="O35" s="39">
        <v>0</v>
      </c>
      <c r="P35" s="39">
        <v>1</v>
      </c>
      <c r="Q35" s="40">
        <v>0</v>
      </c>
      <c r="R35" s="39">
        <v>0</v>
      </c>
      <c r="S35" s="39">
        <v>2</v>
      </c>
      <c r="T35" s="40">
        <v>1</v>
      </c>
      <c r="U35" s="39">
        <v>2</v>
      </c>
      <c r="V35" s="39" t="s">
        <v>190</v>
      </c>
      <c r="W35" s="40">
        <v>39.5</v>
      </c>
      <c r="X35" s="41">
        <v>2</v>
      </c>
      <c r="Y35" s="41">
        <v>6</v>
      </c>
      <c r="Z35" s="41">
        <v>79.5</v>
      </c>
      <c r="AA35" s="41">
        <v>0</v>
      </c>
      <c r="AB35" s="41">
        <v>0</v>
      </c>
      <c r="AC35" s="41">
        <v>0</v>
      </c>
      <c r="AD35" s="41">
        <v>1</v>
      </c>
      <c r="AE35" s="41">
        <v>1</v>
      </c>
      <c r="AF35" s="41">
        <v>0</v>
      </c>
    </row>
    <row r="36" spans="1:32" x14ac:dyDescent="0.3">
      <c r="A36" s="38" t="s">
        <v>49</v>
      </c>
      <c r="B36" s="39">
        <v>0</v>
      </c>
      <c r="C36" s="39">
        <v>0</v>
      </c>
      <c r="D36" s="39">
        <v>0.5</v>
      </c>
      <c r="E36" s="39">
        <v>0.5</v>
      </c>
      <c r="F36" s="39">
        <v>0</v>
      </c>
      <c r="G36" s="39">
        <v>2.4500000000000002</v>
      </c>
      <c r="H36" s="39">
        <v>0.2</v>
      </c>
      <c r="I36" s="39">
        <v>0.2</v>
      </c>
      <c r="J36" s="39">
        <v>0.2</v>
      </c>
      <c r="K36" s="39">
        <v>0.2</v>
      </c>
      <c r="L36" s="39">
        <v>0.2</v>
      </c>
      <c r="M36" s="40">
        <v>3</v>
      </c>
      <c r="N36" s="39">
        <v>2</v>
      </c>
      <c r="O36" s="39">
        <v>0</v>
      </c>
      <c r="P36" s="39">
        <v>1</v>
      </c>
      <c r="Q36" s="40">
        <v>0</v>
      </c>
      <c r="R36" s="39">
        <v>0.5</v>
      </c>
      <c r="S36" s="39">
        <v>2</v>
      </c>
      <c r="T36" s="40">
        <v>4</v>
      </c>
      <c r="U36" s="39">
        <v>4</v>
      </c>
      <c r="V36" s="39" t="s">
        <v>189</v>
      </c>
      <c r="W36" s="40">
        <v>15</v>
      </c>
      <c r="X36" s="41">
        <v>3</v>
      </c>
      <c r="Y36" s="41">
        <v>6</v>
      </c>
      <c r="Z36" s="41">
        <v>26.75</v>
      </c>
      <c r="AA36" s="41">
        <v>0</v>
      </c>
      <c r="AB36" s="41">
        <v>0</v>
      </c>
      <c r="AC36" s="41">
        <v>1</v>
      </c>
      <c r="AD36" s="41">
        <v>0</v>
      </c>
      <c r="AE36" s="41">
        <v>0</v>
      </c>
      <c r="AF36" s="41">
        <v>0</v>
      </c>
    </row>
    <row r="37" spans="1:32" x14ac:dyDescent="0.3">
      <c r="A37" s="38" t="s">
        <v>50</v>
      </c>
      <c r="B37" s="39">
        <v>0</v>
      </c>
      <c r="C37" s="39">
        <v>0</v>
      </c>
      <c r="D37" s="39">
        <v>0.5</v>
      </c>
      <c r="E37" s="39">
        <v>0.5</v>
      </c>
      <c r="F37" s="39">
        <v>0</v>
      </c>
      <c r="G37" s="39">
        <v>1.41</v>
      </c>
      <c r="H37" s="39">
        <v>0</v>
      </c>
      <c r="I37" s="39">
        <v>0.5</v>
      </c>
      <c r="J37" s="39">
        <v>0.5</v>
      </c>
      <c r="K37" s="39">
        <v>0</v>
      </c>
      <c r="L37" s="39">
        <v>0</v>
      </c>
      <c r="M37" s="40">
        <v>1</v>
      </c>
      <c r="N37" s="39">
        <v>2</v>
      </c>
      <c r="O37" s="39">
        <v>0</v>
      </c>
      <c r="P37" s="39">
        <v>1</v>
      </c>
      <c r="Q37" s="40">
        <v>0</v>
      </c>
      <c r="R37" s="39">
        <v>0</v>
      </c>
      <c r="S37" s="39">
        <v>2</v>
      </c>
      <c r="T37" s="40">
        <v>4</v>
      </c>
      <c r="U37" s="39">
        <v>3</v>
      </c>
      <c r="V37" s="39" t="s">
        <v>190</v>
      </c>
      <c r="W37" s="40">
        <v>35.5</v>
      </c>
      <c r="X37" s="41">
        <v>1</v>
      </c>
      <c r="Y37" s="41">
        <v>2</v>
      </c>
      <c r="Z37" s="41">
        <v>64.5</v>
      </c>
      <c r="AA37" s="41">
        <v>1</v>
      </c>
      <c r="AB37" s="41">
        <v>1</v>
      </c>
      <c r="AC37" s="41">
        <v>0</v>
      </c>
      <c r="AD37" s="41">
        <v>0</v>
      </c>
      <c r="AE37" s="41">
        <v>0</v>
      </c>
      <c r="AF37" s="41">
        <v>0</v>
      </c>
    </row>
    <row r="38" spans="1:32" x14ac:dyDescent="0.3">
      <c r="A38" s="38" t="s">
        <v>51</v>
      </c>
      <c r="B38" s="39">
        <v>0</v>
      </c>
      <c r="C38" s="39">
        <v>0</v>
      </c>
      <c r="D38" s="39">
        <v>0</v>
      </c>
      <c r="E38" s="39">
        <v>1</v>
      </c>
      <c r="F38" s="39">
        <v>0</v>
      </c>
      <c r="G38" s="39">
        <v>1</v>
      </c>
      <c r="H38" s="39">
        <v>0</v>
      </c>
      <c r="I38" s="39">
        <v>0</v>
      </c>
      <c r="J38" s="39">
        <v>1</v>
      </c>
      <c r="K38" s="39">
        <v>0</v>
      </c>
      <c r="L38" s="39">
        <v>0</v>
      </c>
      <c r="M38" s="40">
        <v>1</v>
      </c>
      <c r="N38" s="39">
        <v>2</v>
      </c>
      <c r="O38" s="39">
        <v>0</v>
      </c>
      <c r="P38" s="39">
        <v>1</v>
      </c>
      <c r="Q38" s="40">
        <v>0</v>
      </c>
      <c r="R38" s="39">
        <v>0.5</v>
      </c>
      <c r="S38" s="39">
        <v>2</v>
      </c>
      <c r="T38" s="40">
        <v>4</v>
      </c>
      <c r="U38" s="39">
        <v>2</v>
      </c>
      <c r="V38" s="39" t="s">
        <v>190</v>
      </c>
      <c r="W38" s="40">
        <v>23.5</v>
      </c>
      <c r="X38" s="41">
        <v>1</v>
      </c>
      <c r="Y38" s="41">
        <v>1</v>
      </c>
      <c r="Z38" s="41">
        <v>53</v>
      </c>
      <c r="AA38" s="41">
        <v>1</v>
      </c>
      <c r="AB38" s="41">
        <v>1</v>
      </c>
      <c r="AC38" s="41">
        <v>0</v>
      </c>
      <c r="AD38" s="41">
        <v>0</v>
      </c>
      <c r="AE38" s="41">
        <v>0</v>
      </c>
      <c r="AF38" s="41">
        <v>0</v>
      </c>
    </row>
    <row r="39" spans="1:32" x14ac:dyDescent="0.3">
      <c r="A39" s="38" t="s">
        <v>52</v>
      </c>
      <c r="B39" s="45">
        <v>0</v>
      </c>
      <c r="C39" s="45">
        <v>0</v>
      </c>
      <c r="D39" s="44">
        <v>0.5</v>
      </c>
      <c r="E39" s="44">
        <v>0.5</v>
      </c>
      <c r="F39" s="44">
        <v>0</v>
      </c>
      <c r="G39" s="44">
        <v>2</v>
      </c>
      <c r="H39" s="44">
        <v>0</v>
      </c>
      <c r="I39" s="44">
        <v>0.5</v>
      </c>
      <c r="J39" s="44">
        <v>0.5</v>
      </c>
      <c r="K39" s="44">
        <v>0</v>
      </c>
      <c r="L39" s="44">
        <v>0</v>
      </c>
      <c r="M39" s="45">
        <v>1</v>
      </c>
      <c r="N39" s="45">
        <v>2</v>
      </c>
      <c r="O39" s="44">
        <v>0</v>
      </c>
      <c r="P39" s="44">
        <v>1</v>
      </c>
      <c r="Q39" s="45">
        <v>0</v>
      </c>
      <c r="R39" s="44">
        <v>0</v>
      </c>
      <c r="S39" s="44">
        <v>2</v>
      </c>
      <c r="T39" s="45">
        <v>2</v>
      </c>
      <c r="U39" s="44">
        <v>2</v>
      </c>
      <c r="V39" s="44" t="s">
        <v>190</v>
      </c>
      <c r="W39" s="45">
        <v>30</v>
      </c>
      <c r="X39" s="41">
        <v>1</v>
      </c>
      <c r="Y39" s="41">
        <v>1</v>
      </c>
      <c r="Z39" s="41">
        <v>60</v>
      </c>
      <c r="AA39" s="41">
        <v>0</v>
      </c>
      <c r="AB39" s="41">
        <v>0</v>
      </c>
      <c r="AC39" s="41">
        <v>1</v>
      </c>
      <c r="AD39" s="41">
        <v>0</v>
      </c>
      <c r="AE39" s="41">
        <v>0</v>
      </c>
      <c r="AF39" s="41">
        <v>0</v>
      </c>
    </row>
    <row r="40" spans="1:32" x14ac:dyDescent="0.3">
      <c r="A40" s="38" t="s">
        <v>53</v>
      </c>
      <c r="B40" s="46">
        <v>0</v>
      </c>
      <c r="C40" s="46">
        <v>0</v>
      </c>
      <c r="D40" s="46">
        <v>0.5</v>
      </c>
      <c r="E40" s="46">
        <v>0.5</v>
      </c>
      <c r="F40" s="46">
        <v>0</v>
      </c>
      <c r="G40" s="46">
        <v>3.12</v>
      </c>
      <c r="H40" s="46">
        <v>0</v>
      </c>
      <c r="I40" s="46">
        <v>0.33</v>
      </c>
      <c r="J40" s="46">
        <v>0.33</v>
      </c>
      <c r="K40" s="46">
        <v>0.33</v>
      </c>
      <c r="L40" s="46">
        <v>0</v>
      </c>
      <c r="M40" s="47">
        <v>2</v>
      </c>
      <c r="N40" s="46">
        <v>2</v>
      </c>
      <c r="O40" s="46">
        <v>0</v>
      </c>
      <c r="P40" s="46">
        <v>1</v>
      </c>
      <c r="Q40" s="47">
        <v>0</v>
      </c>
      <c r="R40" s="46">
        <v>0.5</v>
      </c>
      <c r="S40" s="46">
        <v>2</v>
      </c>
      <c r="T40" s="47">
        <v>2</v>
      </c>
      <c r="U40" s="46">
        <v>4</v>
      </c>
      <c r="V40" s="46" t="s">
        <v>189</v>
      </c>
      <c r="W40" s="47">
        <v>26.5</v>
      </c>
      <c r="X40" s="41">
        <v>2</v>
      </c>
      <c r="Y40" s="41">
        <v>12</v>
      </c>
      <c r="Z40" s="41">
        <v>45.75</v>
      </c>
      <c r="AA40" s="41">
        <v>1</v>
      </c>
      <c r="AB40" s="41">
        <v>1</v>
      </c>
      <c r="AC40" s="41">
        <v>1</v>
      </c>
      <c r="AD40" s="41">
        <v>0</v>
      </c>
      <c r="AE40" s="41">
        <v>0</v>
      </c>
      <c r="AF40" s="41">
        <v>0</v>
      </c>
    </row>
    <row r="41" spans="1:32" x14ac:dyDescent="0.3">
      <c r="A41" s="38" t="s">
        <v>54</v>
      </c>
      <c r="B41" s="39">
        <v>0</v>
      </c>
      <c r="C41" s="39">
        <v>0</v>
      </c>
      <c r="D41" s="39">
        <v>0.33</v>
      </c>
      <c r="E41" s="39">
        <v>0.33</v>
      </c>
      <c r="F41" s="39">
        <v>0.33</v>
      </c>
      <c r="G41" s="39">
        <v>2.4500000000000002</v>
      </c>
      <c r="H41" s="39">
        <v>0</v>
      </c>
      <c r="I41" s="39">
        <v>0.25</v>
      </c>
      <c r="J41" s="39">
        <v>0.25</v>
      </c>
      <c r="K41" s="39">
        <v>0.25</v>
      </c>
      <c r="L41" s="39">
        <v>0.25</v>
      </c>
      <c r="M41" s="40">
        <v>2</v>
      </c>
      <c r="N41" s="39">
        <v>2</v>
      </c>
      <c r="O41" s="39">
        <v>0</v>
      </c>
      <c r="P41" s="39">
        <v>1</v>
      </c>
      <c r="Q41" s="40">
        <v>0</v>
      </c>
      <c r="R41" s="39">
        <v>0.5</v>
      </c>
      <c r="S41" s="39">
        <v>3</v>
      </c>
      <c r="T41" s="40">
        <v>4</v>
      </c>
      <c r="U41" s="39">
        <v>3</v>
      </c>
      <c r="V41" s="39" t="s">
        <v>191</v>
      </c>
      <c r="W41" s="40">
        <v>22</v>
      </c>
      <c r="X41" s="41">
        <v>3</v>
      </c>
      <c r="Y41" s="41">
        <v>7</v>
      </c>
      <c r="Z41" s="41">
        <v>42.5</v>
      </c>
      <c r="AA41" s="41">
        <v>0</v>
      </c>
      <c r="AB41" s="41">
        <v>1</v>
      </c>
      <c r="AC41" s="41">
        <v>1</v>
      </c>
      <c r="AD41" s="41">
        <v>0</v>
      </c>
      <c r="AE41" s="41">
        <v>0</v>
      </c>
      <c r="AF41" s="41">
        <v>0</v>
      </c>
    </row>
    <row r="42" spans="1:32" x14ac:dyDescent="0.3">
      <c r="A42" s="38" t="s">
        <v>55</v>
      </c>
      <c r="B42" s="39">
        <v>0</v>
      </c>
      <c r="C42" s="39">
        <v>0</v>
      </c>
      <c r="D42" s="39">
        <v>0.5</v>
      </c>
      <c r="E42" s="39">
        <v>0.5</v>
      </c>
      <c r="F42" s="39">
        <v>0</v>
      </c>
      <c r="G42" s="39">
        <v>1</v>
      </c>
      <c r="H42" s="39">
        <v>0</v>
      </c>
      <c r="I42" s="39">
        <v>0.5</v>
      </c>
      <c r="J42" s="39">
        <v>0.5</v>
      </c>
      <c r="K42" s="39">
        <v>0</v>
      </c>
      <c r="L42" s="39">
        <v>0</v>
      </c>
      <c r="M42" s="40">
        <v>1</v>
      </c>
      <c r="N42" s="39">
        <v>4</v>
      </c>
      <c r="O42" s="39">
        <v>0</v>
      </c>
      <c r="P42" s="39">
        <v>1</v>
      </c>
      <c r="Q42" s="40">
        <v>1</v>
      </c>
      <c r="R42" s="39">
        <v>0.5</v>
      </c>
      <c r="S42" s="39">
        <v>4</v>
      </c>
      <c r="T42" s="40">
        <v>1</v>
      </c>
      <c r="U42" s="39">
        <v>4</v>
      </c>
      <c r="V42" s="39" t="s">
        <v>189</v>
      </c>
      <c r="W42" s="40">
        <v>19.5</v>
      </c>
      <c r="X42" s="41">
        <v>2</v>
      </c>
      <c r="Y42" s="41">
        <v>2</v>
      </c>
      <c r="Z42" s="41">
        <v>44.5</v>
      </c>
      <c r="AA42" s="41">
        <v>0</v>
      </c>
      <c r="AB42" s="41">
        <v>0</v>
      </c>
      <c r="AC42" s="41">
        <v>0</v>
      </c>
      <c r="AD42" s="41">
        <v>0</v>
      </c>
      <c r="AE42" s="41">
        <v>1</v>
      </c>
      <c r="AF42" s="41">
        <v>0</v>
      </c>
    </row>
    <row r="43" spans="1:32" x14ac:dyDescent="0.3">
      <c r="A43" s="38" t="s">
        <v>56</v>
      </c>
      <c r="B43" s="39">
        <v>0</v>
      </c>
      <c r="C43" s="39">
        <v>0</v>
      </c>
      <c r="D43" s="39">
        <v>0.5</v>
      </c>
      <c r="E43" s="39">
        <v>0.5</v>
      </c>
      <c r="F43" s="39">
        <v>0</v>
      </c>
      <c r="G43" s="39">
        <v>1</v>
      </c>
      <c r="H43" s="39">
        <v>0</v>
      </c>
      <c r="I43" s="39">
        <v>0.5</v>
      </c>
      <c r="J43" s="39">
        <v>0.5</v>
      </c>
      <c r="K43" s="39">
        <v>0</v>
      </c>
      <c r="L43" s="39">
        <v>0</v>
      </c>
      <c r="M43" s="40">
        <v>2</v>
      </c>
      <c r="N43" s="39">
        <v>3</v>
      </c>
      <c r="O43" s="39">
        <v>0</v>
      </c>
      <c r="P43" s="39">
        <v>1</v>
      </c>
      <c r="Q43" s="40">
        <v>0</v>
      </c>
      <c r="R43" s="39">
        <v>0</v>
      </c>
      <c r="S43" s="39">
        <v>2</v>
      </c>
      <c r="T43" s="40">
        <v>1</v>
      </c>
      <c r="U43" s="39">
        <v>2</v>
      </c>
      <c r="V43" s="39" t="s">
        <v>191</v>
      </c>
      <c r="W43" s="40">
        <v>25</v>
      </c>
      <c r="X43" s="41">
        <v>3</v>
      </c>
      <c r="Y43" s="41">
        <v>1</v>
      </c>
      <c r="Z43" s="41">
        <v>50</v>
      </c>
      <c r="AA43" s="41">
        <v>0</v>
      </c>
      <c r="AB43" s="41">
        <v>0</v>
      </c>
      <c r="AC43" s="41">
        <v>0</v>
      </c>
      <c r="AD43" s="41">
        <v>1</v>
      </c>
      <c r="AE43" s="41">
        <v>0</v>
      </c>
      <c r="AF43" s="41">
        <v>0</v>
      </c>
    </row>
    <row r="44" spans="1:32" x14ac:dyDescent="0.3">
      <c r="A44" s="38" t="s">
        <v>57</v>
      </c>
      <c r="B44" s="39">
        <v>0</v>
      </c>
      <c r="C44" s="39">
        <v>0</v>
      </c>
      <c r="D44" s="39">
        <v>0.5</v>
      </c>
      <c r="E44" s="39">
        <v>0.5</v>
      </c>
      <c r="F44" s="39">
        <v>0</v>
      </c>
      <c r="G44" s="39">
        <v>3.16</v>
      </c>
      <c r="H44" s="39">
        <v>0</v>
      </c>
      <c r="I44" s="39">
        <v>0</v>
      </c>
      <c r="J44" s="39">
        <v>0.5</v>
      </c>
      <c r="K44" s="39">
        <v>0.5</v>
      </c>
      <c r="L44" s="39">
        <v>0</v>
      </c>
      <c r="M44" s="40">
        <v>1</v>
      </c>
      <c r="N44" s="39">
        <v>2</v>
      </c>
      <c r="O44" s="39">
        <v>0</v>
      </c>
      <c r="P44" s="39">
        <v>1</v>
      </c>
      <c r="Q44" s="40">
        <v>0</v>
      </c>
      <c r="R44" s="39">
        <v>0</v>
      </c>
      <c r="S44" s="39">
        <v>2</v>
      </c>
      <c r="T44" s="40">
        <v>4</v>
      </c>
      <c r="U44" s="39">
        <v>3</v>
      </c>
      <c r="V44" s="39" t="s">
        <v>189</v>
      </c>
      <c r="W44" s="40">
        <v>23.5</v>
      </c>
      <c r="X44" s="41">
        <v>1</v>
      </c>
      <c r="Y44" s="41">
        <v>10</v>
      </c>
      <c r="Z44" s="41">
        <v>40.75</v>
      </c>
      <c r="AA44" s="41">
        <v>0</v>
      </c>
      <c r="AB44" s="41">
        <v>1</v>
      </c>
      <c r="AC44" s="41">
        <v>0</v>
      </c>
      <c r="AD44" s="41">
        <v>0</v>
      </c>
      <c r="AE44" s="41">
        <v>0</v>
      </c>
      <c r="AF44" s="41">
        <v>0</v>
      </c>
    </row>
    <row r="45" spans="1:32" x14ac:dyDescent="0.3">
      <c r="A45" s="38" t="s">
        <v>58</v>
      </c>
      <c r="B45" s="39">
        <v>0</v>
      </c>
      <c r="C45" s="39">
        <v>0</v>
      </c>
      <c r="D45" s="39">
        <v>0.33</v>
      </c>
      <c r="E45" s="39">
        <v>0.33</v>
      </c>
      <c r="F45" s="39">
        <v>0.33</v>
      </c>
      <c r="G45" s="39">
        <v>1</v>
      </c>
      <c r="H45" s="39">
        <v>0</v>
      </c>
      <c r="I45" s="39">
        <v>0.5</v>
      </c>
      <c r="J45" s="39">
        <v>0.5</v>
      </c>
      <c r="K45" s="39">
        <v>0</v>
      </c>
      <c r="L45" s="39">
        <v>0</v>
      </c>
      <c r="M45" s="40">
        <v>1</v>
      </c>
      <c r="N45" s="39">
        <v>2</v>
      </c>
      <c r="O45" s="39">
        <v>0</v>
      </c>
      <c r="P45" s="39">
        <v>1</v>
      </c>
      <c r="Q45" s="40">
        <v>0</v>
      </c>
      <c r="R45" s="39">
        <v>0.5</v>
      </c>
      <c r="S45" s="39">
        <v>2</v>
      </c>
      <c r="T45" s="40">
        <v>4</v>
      </c>
      <c r="U45" s="39">
        <v>2</v>
      </c>
      <c r="V45" s="39" t="s">
        <v>190</v>
      </c>
      <c r="W45" s="40">
        <v>27.5</v>
      </c>
      <c r="X45" s="41">
        <v>1</v>
      </c>
      <c r="Y45" s="41">
        <v>1</v>
      </c>
      <c r="Z45" s="41">
        <v>55</v>
      </c>
      <c r="AA45" s="41">
        <v>0</v>
      </c>
      <c r="AB45" s="41">
        <v>1</v>
      </c>
      <c r="AC45" s="41">
        <v>0</v>
      </c>
      <c r="AD45" s="41">
        <v>0</v>
      </c>
      <c r="AE45" s="41">
        <v>0</v>
      </c>
      <c r="AF45" s="41">
        <v>0</v>
      </c>
    </row>
    <row r="46" spans="1:32" x14ac:dyDescent="0.3">
      <c r="A46" s="38" t="s">
        <v>59</v>
      </c>
      <c r="B46" s="39">
        <v>1</v>
      </c>
      <c r="C46" s="39">
        <v>0</v>
      </c>
      <c r="D46" s="39">
        <v>0.5</v>
      </c>
      <c r="E46" s="39">
        <v>0.5</v>
      </c>
      <c r="F46" s="39">
        <v>0</v>
      </c>
      <c r="G46" s="39">
        <v>2.46</v>
      </c>
      <c r="H46" s="39">
        <v>0</v>
      </c>
      <c r="I46" s="39">
        <v>0.33</v>
      </c>
      <c r="J46" s="39">
        <v>0.33</v>
      </c>
      <c r="K46" s="39">
        <v>0.33</v>
      </c>
      <c r="L46" s="39">
        <v>0</v>
      </c>
      <c r="M46" s="40">
        <v>2</v>
      </c>
      <c r="N46" s="39">
        <v>1</v>
      </c>
      <c r="O46" s="39">
        <v>0</v>
      </c>
      <c r="P46" s="39">
        <v>1</v>
      </c>
      <c r="Q46" s="40">
        <v>0</v>
      </c>
      <c r="R46" s="39">
        <v>0.5</v>
      </c>
      <c r="S46" s="39">
        <v>2</v>
      </c>
      <c r="T46" s="40">
        <v>1</v>
      </c>
      <c r="U46" s="39">
        <v>4</v>
      </c>
      <c r="V46" s="39" t="s">
        <v>189</v>
      </c>
      <c r="W46" s="40">
        <v>18</v>
      </c>
      <c r="X46" s="41">
        <v>2</v>
      </c>
      <c r="Y46" s="41">
        <v>4</v>
      </c>
      <c r="Z46" s="41">
        <v>35.75</v>
      </c>
      <c r="AA46" s="41">
        <v>0</v>
      </c>
      <c r="AB46" s="41">
        <v>0</v>
      </c>
      <c r="AC46" s="41">
        <v>1</v>
      </c>
      <c r="AD46" s="41">
        <v>0</v>
      </c>
      <c r="AE46" s="41">
        <v>0</v>
      </c>
      <c r="AF46" s="41">
        <v>0</v>
      </c>
    </row>
    <row r="47" spans="1:32" x14ac:dyDescent="0.3">
      <c r="A47" s="38" t="s">
        <v>60</v>
      </c>
      <c r="B47" s="39">
        <v>1</v>
      </c>
      <c r="C47" s="39">
        <v>0</v>
      </c>
      <c r="D47" s="39">
        <v>0.33</v>
      </c>
      <c r="E47" s="39">
        <v>0.33</v>
      </c>
      <c r="F47" s="39">
        <v>0.33</v>
      </c>
      <c r="G47" s="39">
        <v>3.5</v>
      </c>
      <c r="H47" s="39">
        <v>0</v>
      </c>
      <c r="I47" s="39">
        <v>0.33</v>
      </c>
      <c r="J47" s="39">
        <v>0.33</v>
      </c>
      <c r="K47" s="39">
        <v>0.33</v>
      </c>
      <c r="L47" s="39">
        <v>0</v>
      </c>
      <c r="M47" s="40">
        <v>2</v>
      </c>
      <c r="N47" s="39">
        <v>1</v>
      </c>
      <c r="O47" s="39">
        <v>0</v>
      </c>
      <c r="P47" s="39">
        <v>1</v>
      </c>
      <c r="Q47" s="40">
        <v>0</v>
      </c>
      <c r="R47" s="39">
        <v>0.5</v>
      </c>
      <c r="S47" s="39">
        <v>2</v>
      </c>
      <c r="T47" s="40">
        <v>1</v>
      </c>
      <c r="U47" s="39">
        <v>4</v>
      </c>
      <c r="V47" s="39" t="s">
        <v>189</v>
      </c>
      <c r="W47" s="40">
        <v>20</v>
      </c>
      <c r="X47" s="41">
        <v>3</v>
      </c>
      <c r="Y47" s="41">
        <v>9</v>
      </c>
      <c r="Z47" s="41">
        <v>37</v>
      </c>
      <c r="AA47" s="41">
        <v>0</v>
      </c>
      <c r="AB47" s="41">
        <v>1</v>
      </c>
      <c r="AC47" s="41">
        <v>0</v>
      </c>
      <c r="AD47" s="41">
        <v>0</v>
      </c>
      <c r="AE47" s="41">
        <v>0</v>
      </c>
      <c r="AF47" s="41">
        <v>0</v>
      </c>
    </row>
    <row r="48" spans="1:32" x14ac:dyDescent="0.3">
      <c r="A48" s="38" t="s">
        <v>61</v>
      </c>
      <c r="B48" s="39">
        <v>1</v>
      </c>
      <c r="C48" s="39">
        <v>0</v>
      </c>
      <c r="D48" s="39">
        <v>0.5</v>
      </c>
      <c r="E48" s="39">
        <v>0.5</v>
      </c>
      <c r="F48" s="39">
        <v>0</v>
      </c>
      <c r="G48" s="39">
        <v>3.14</v>
      </c>
      <c r="H48" s="39">
        <v>0.25</v>
      </c>
      <c r="I48" s="39">
        <v>0.25</v>
      </c>
      <c r="J48" s="39">
        <v>0.25</v>
      </c>
      <c r="K48" s="39">
        <v>0.25</v>
      </c>
      <c r="L48" s="39">
        <v>0</v>
      </c>
      <c r="M48" s="40">
        <v>1</v>
      </c>
      <c r="N48" s="39">
        <v>4</v>
      </c>
      <c r="O48" s="39">
        <v>0</v>
      </c>
      <c r="P48" s="39">
        <v>1</v>
      </c>
      <c r="Q48" s="40">
        <v>1</v>
      </c>
      <c r="R48" s="39">
        <v>0</v>
      </c>
      <c r="S48" s="39">
        <v>4</v>
      </c>
      <c r="T48" s="40">
        <v>2</v>
      </c>
      <c r="U48" s="39">
        <v>4</v>
      </c>
      <c r="V48" s="39" t="s">
        <v>189</v>
      </c>
      <c r="W48" s="40">
        <v>28.5</v>
      </c>
      <c r="X48" s="41">
        <v>1</v>
      </c>
      <c r="Y48" s="41">
        <v>9</v>
      </c>
      <c r="Z48" s="41">
        <v>62</v>
      </c>
      <c r="AA48" s="41">
        <v>0</v>
      </c>
      <c r="AB48" s="41">
        <v>0</v>
      </c>
      <c r="AC48" s="41">
        <v>0</v>
      </c>
      <c r="AD48" s="41">
        <v>1</v>
      </c>
      <c r="AE48" s="41">
        <v>0</v>
      </c>
      <c r="AF48" s="41">
        <v>0</v>
      </c>
    </row>
    <row r="49" spans="1:32" x14ac:dyDescent="0.3">
      <c r="A49" s="38" t="s">
        <v>62</v>
      </c>
      <c r="B49" s="39">
        <v>0</v>
      </c>
      <c r="C49" s="39">
        <v>0</v>
      </c>
      <c r="D49" s="39">
        <v>0.5</v>
      </c>
      <c r="E49" s="39">
        <v>0.5</v>
      </c>
      <c r="F49" s="39">
        <v>0</v>
      </c>
      <c r="G49" s="39">
        <v>2.4500000000000002</v>
      </c>
      <c r="H49" s="39">
        <v>0.25</v>
      </c>
      <c r="I49" s="39">
        <v>0.25</v>
      </c>
      <c r="J49" s="39">
        <v>0.25</v>
      </c>
      <c r="K49" s="39">
        <v>0.25</v>
      </c>
      <c r="L49" s="39">
        <v>0</v>
      </c>
      <c r="M49" s="40">
        <v>2</v>
      </c>
      <c r="N49" s="39">
        <v>2</v>
      </c>
      <c r="O49" s="39">
        <v>0</v>
      </c>
      <c r="P49" s="39">
        <v>1</v>
      </c>
      <c r="Q49" s="40">
        <v>0</v>
      </c>
      <c r="R49" s="39">
        <v>0</v>
      </c>
      <c r="S49" s="39">
        <v>3</v>
      </c>
      <c r="T49" s="40">
        <v>1</v>
      </c>
      <c r="U49" s="39">
        <v>3</v>
      </c>
      <c r="V49" s="39" t="s">
        <v>191</v>
      </c>
      <c r="W49" s="40">
        <v>20.5</v>
      </c>
      <c r="X49" s="41">
        <v>3</v>
      </c>
      <c r="Y49" s="41">
        <v>7</v>
      </c>
      <c r="Z49" s="41">
        <v>38</v>
      </c>
      <c r="AA49" s="41">
        <v>0</v>
      </c>
      <c r="AB49" s="41">
        <v>1</v>
      </c>
      <c r="AC49" s="41">
        <v>1</v>
      </c>
      <c r="AD49" s="41">
        <v>0</v>
      </c>
      <c r="AE49" s="41">
        <v>0</v>
      </c>
      <c r="AF49" s="41">
        <v>0</v>
      </c>
    </row>
    <row r="50" spans="1:32" x14ac:dyDescent="0.3">
      <c r="A50" s="38" t="s">
        <v>63</v>
      </c>
      <c r="B50" s="39">
        <v>0</v>
      </c>
      <c r="C50" s="39">
        <v>0</v>
      </c>
      <c r="D50" s="39">
        <v>0.5</v>
      </c>
      <c r="E50" s="39">
        <v>0.5</v>
      </c>
      <c r="F50" s="39">
        <v>0</v>
      </c>
      <c r="G50" s="39">
        <v>1</v>
      </c>
      <c r="H50" s="39">
        <v>0.25</v>
      </c>
      <c r="I50" s="39">
        <v>0.25</v>
      </c>
      <c r="J50" s="39">
        <v>0.25</v>
      </c>
      <c r="K50" s="39">
        <v>0.25</v>
      </c>
      <c r="L50" s="39">
        <v>0</v>
      </c>
      <c r="M50" s="40">
        <v>2</v>
      </c>
      <c r="N50" s="39">
        <v>3</v>
      </c>
      <c r="O50" s="39">
        <v>0</v>
      </c>
      <c r="P50" s="39">
        <v>1</v>
      </c>
      <c r="Q50" s="40">
        <v>0</v>
      </c>
      <c r="R50" s="39">
        <v>0</v>
      </c>
      <c r="S50" s="39">
        <v>4</v>
      </c>
      <c r="T50" s="40">
        <v>1</v>
      </c>
      <c r="U50" s="39">
        <v>4</v>
      </c>
      <c r="V50" s="39" t="s">
        <v>190</v>
      </c>
      <c r="W50" s="40">
        <v>22.5</v>
      </c>
      <c r="X50" s="41">
        <v>3</v>
      </c>
      <c r="Y50" s="41">
        <v>2</v>
      </c>
      <c r="Z50" s="41">
        <v>45</v>
      </c>
      <c r="AA50" s="41"/>
      <c r="AB50" s="41"/>
      <c r="AC50" s="41"/>
      <c r="AD50" s="41"/>
      <c r="AE50" s="41"/>
      <c r="AF50" s="41"/>
    </row>
    <row r="51" spans="1:32" x14ac:dyDescent="0.3">
      <c r="A51" s="38" t="s">
        <v>64</v>
      </c>
      <c r="B51" s="44">
        <v>0</v>
      </c>
      <c r="C51" s="44">
        <v>0</v>
      </c>
      <c r="D51" s="44">
        <v>0.33</v>
      </c>
      <c r="E51" s="44">
        <v>0.33</v>
      </c>
      <c r="F51" s="44">
        <v>0.33</v>
      </c>
      <c r="G51" s="44">
        <v>1.41</v>
      </c>
      <c r="H51" s="44">
        <v>0.2</v>
      </c>
      <c r="I51" s="44">
        <v>0.2</v>
      </c>
      <c r="J51" s="44">
        <v>0.2</v>
      </c>
      <c r="K51" s="44">
        <v>0.2</v>
      </c>
      <c r="L51" s="44">
        <v>0.2</v>
      </c>
      <c r="M51" s="45">
        <v>1</v>
      </c>
      <c r="N51" s="44">
        <v>2</v>
      </c>
      <c r="O51" s="44">
        <v>0</v>
      </c>
      <c r="P51" s="44">
        <v>1</v>
      </c>
      <c r="Q51" s="45">
        <v>1</v>
      </c>
      <c r="R51" s="44">
        <v>0.5</v>
      </c>
      <c r="S51" s="44">
        <v>4</v>
      </c>
      <c r="T51" s="45">
        <v>1</v>
      </c>
      <c r="U51" s="44">
        <v>5</v>
      </c>
      <c r="V51" s="44" t="s">
        <v>193</v>
      </c>
      <c r="W51" s="45">
        <v>30</v>
      </c>
      <c r="X51" s="41">
        <v>3</v>
      </c>
      <c r="Y51" s="41">
        <v>3</v>
      </c>
      <c r="Z51" s="41">
        <v>56.25</v>
      </c>
      <c r="AA51" s="41">
        <v>0</v>
      </c>
      <c r="AB51" s="41">
        <v>0</v>
      </c>
      <c r="AC51" s="41">
        <v>1</v>
      </c>
      <c r="AD51" s="41">
        <v>0</v>
      </c>
      <c r="AE51" s="41">
        <v>0</v>
      </c>
      <c r="AF51" s="41">
        <v>0</v>
      </c>
    </row>
    <row r="52" spans="1:32" x14ac:dyDescent="0.3">
      <c r="A52" s="38" t="s">
        <v>65</v>
      </c>
      <c r="B52" s="39">
        <v>0</v>
      </c>
      <c r="C52" s="39">
        <v>0</v>
      </c>
      <c r="D52" s="39">
        <v>0.33</v>
      </c>
      <c r="E52" s="39">
        <v>0.33</v>
      </c>
      <c r="F52" s="39">
        <v>0.33</v>
      </c>
      <c r="G52" s="39">
        <v>5.73</v>
      </c>
      <c r="H52" s="39">
        <v>0.2</v>
      </c>
      <c r="I52" s="39">
        <v>0.2</v>
      </c>
      <c r="J52" s="39">
        <v>0.2</v>
      </c>
      <c r="K52" s="39">
        <v>0.2</v>
      </c>
      <c r="L52" s="39">
        <v>0.2</v>
      </c>
      <c r="M52" s="40">
        <v>3</v>
      </c>
      <c r="N52" s="39">
        <v>1</v>
      </c>
      <c r="O52" s="39">
        <v>0</v>
      </c>
      <c r="P52" s="39">
        <v>1</v>
      </c>
      <c r="Q52" s="40">
        <v>1</v>
      </c>
      <c r="R52" s="39">
        <v>0.5</v>
      </c>
      <c r="S52" s="39">
        <v>4</v>
      </c>
      <c r="T52" s="40">
        <v>1</v>
      </c>
      <c r="U52" s="39">
        <v>5</v>
      </c>
      <c r="V52" s="39" t="s">
        <v>193</v>
      </c>
      <c r="W52" s="40">
        <v>28</v>
      </c>
      <c r="X52" s="41">
        <v>3</v>
      </c>
      <c r="Y52" s="41">
        <v>7</v>
      </c>
      <c r="Z52" s="41">
        <v>53.5</v>
      </c>
      <c r="AA52" s="41">
        <v>0</v>
      </c>
      <c r="AB52" s="41">
        <v>0</v>
      </c>
      <c r="AC52" s="41">
        <v>1</v>
      </c>
      <c r="AD52" s="41">
        <v>0</v>
      </c>
      <c r="AE52" s="41">
        <v>0</v>
      </c>
      <c r="AF52" s="41">
        <v>0</v>
      </c>
    </row>
    <row r="54" spans="1:32" x14ac:dyDescent="0.3">
      <c r="A54" s="49"/>
    </row>
    <row r="55" spans="1:32" x14ac:dyDescent="0.3">
      <c r="A55" s="49"/>
    </row>
    <row r="56" spans="1:32" x14ac:dyDescent="0.3">
      <c r="A56" s="49"/>
    </row>
    <row r="57" spans="1:32" x14ac:dyDescent="0.3">
      <c r="A57" s="49"/>
    </row>
    <row r="58" spans="1:32" x14ac:dyDescent="0.3">
      <c r="A58" s="49"/>
    </row>
    <row r="59" spans="1:32" x14ac:dyDescent="0.3">
      <c r="A59" s="49"/>
    </row>
    <row r="60" spans="1:32" x14ac:dyDescent="0.3">
      <c r="A60" s="49"/>
    </row>
    <row r="61" spans="1:32" x14ac:dyDescent="0.3">
      <c r="A61" s="49"/>
    </row>
    <row r="62" spans="1:32" x14ac:dyDescent="0.3">
      <c r="A62" s="49"/>
    </row>
    <row r="63" spans="1:32" x14ac:dyDescent="0.3">
      <c r="A63" s="49"/>
    </row>
    <row r="64" spans="1:32" x14ac:dyDescent="0.3">
      <c r="A64" s="49"/>
    </row>
    <row r="65" spans="1:1" x14ac:dyDescent="0.3">
      <c r="A65" s="49"/>
    </row>
    <row r="66" spans="1:1" x14ac:dyDescent="0.3">
      <c r="A66" s="49"/>
    </row>
    <row r="67" spans="1:1" x14ac:dyDescent="0.3">
      <c r="A67" s="49"/>
    </row>
    <row r="68" spans="1:1" x14ac:dyDescent="0.3">
      <c r="A68" s="49"/>
    </row>
    <row r="69" spans="1:1" x14ac:dyDescent="0.3">
      <c r="A69" s="49"/>
    </row>
    <row r="70" spans="1:1" x14ac:dyDescent="0.3">
      <c r="A70" s="49"/>
    </row>
    <row r="71" spans="1:1" x14ac:dyDescent="0.3">
      <c r="A71" s="49"/>
    </row>
    <row r="72" spans="1:1" x14ac:dyDescent="0.3">
      <c r="A72" s="49"/>
    </row>
    <row r="73" spans="1:1" x14ac:dyDescent="0.3">
      <c r="A73" s="49"/>
    </row>
    <row r="74" spans="1:1" x14ac:dyDescent="0.3">
      <c r="A74" s="49"/>
    </row>
    <row r="75" spans="1:1" x14ac:dyDescent="0.3">
      <c r="A75" s="49"/>
    </row>
    <row r="76" spans="1:1" x14ac:dyDescent="0.3">
      <c r="A76" s="49"/>
    </row>
    <row r="77" spans="1:1" x14ac:dyDescent="0.3">
      <c r="A77" s="49"/>
    </row>
    <row r="78" spans="1:1" x14ac:dyDescent="0.3">
      <c r="A78" s="49"/>
    </row>
    <row r="79" spans="1:1" x14ac:dyDescent="0.3">
      <c r="A79" s="49"/>
    </row>
    <row r="80" spans="1:1" x14ac:dyDescent="0.3">
      <c r="A80" s="49"/>
    </row>
    <row r="81" spans="1:1" x14ac:dyDescent="0.3">
      <c r="A81" s="49"/>
    </row>
    <row r="82" spans="1:1" x14ac:dyDescent="0.3">
      <c r="A82" s="49"/>
    </row>
    <row r="83" spans="1:1" x14ac:dyDescent="0.3">
      <c r="A83" s="49"/>
    </row>
    <row r="84" spans="1:1" x14ac:dyDescent="0.3">
      <c r="A84" s="49"/>
    </row>
    <row r="85" spans="1:1" x14ac:dyDescent="0.3">
      <c r="A85" s="49"/>
    </row>
    <row r="86" spans="1:1" x14ac:dyDescent="0.3">
      <c r="A86" s="49"/>
    </row>
    <row r="87" spans="1:1" x14ac:dyDescent="0.3">
      <c r="A87" s="49"/>
    </row>
    <row r="88" spans="1:1" x14ac:dyDescent="0.3">
      <c r="A88" s="49"/>
    </row>
    <row r="89" spans="1:1" x14ac:dyDescent="0.3">
      <c r="A89" s="49"/>
    </row>
    <row r="90" spans="1:1" x14ac:dyDescent="0.3">
      <c r="A90" s="49"/>
    </row>
    <row r="91" spans="1:1" x14ac:dyDescent="0.3">
      <c r="A91" s="49"/>
    </row>
    <row r="92" spans="1:1" x14ac:dyDescent="0.3">
      <c r="A92" s="49"/>
    </row>
    <row r="93" spans="1:1" x14ac:dyDescent="0.3">
      <c r="A93" s="49"/>
    </row>
    <row r="94" spans="1:1" x14ac:dyDescent="0.3">
      <c r="A94" s="49"/>
    </row>
    <row r="95" spans="1:1" x14ac:dyDescent="0.3">
      <c r="A95" s="49"/>
    </row>
    <row r="96" spans="1:1" x14ac:dyDescent="0.3">
      <c r="A96" s="49"/>
    </row>
    <row r="97" spans="1:1" x14ac:dyDescent="0.3">
      <c r="A97" s="49"/>
    </row>
    <row r="98" spans="1:1" x14ac:dyDescent="0.3">
      <c r="A98" s="49"/>
    </row>
    <row r="99" spans="1:1" x14ac:dyDescent="0.3">
      <c r="A99" s="49"/>
    </row>
    <row r="100" spans="1:1" x14ac:dyDescent="0.3">
      <c r="A100" s="49"/>
    </row>
    <row r="101" spans="1:1" x14ac:dyDescent="0.3">
      <c r="A101" s="49"/>
    </row>
    <row r="102" spans="1:1" x14ac:dyDescent="0.3">
      <c r="A102" s="49"/>
    </row>
    <row r="103" spans="1:1" x14ac:dyDescent="0.3">
      <c r="A103" s="49"/>
    </row>
    <row r="104" spans="1:1" x14ac:dyDescent="0.3">
      <c r="A104" s="49"/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E716F-12A9-46D7-B4F5-92CB0A00FE1A}">
  <dimension ref="A1:AA54"/>
  <sheetViews>
    <sheetView showGridLines="0" tabSelected="1" topLeftCell="A23" zoomScaleNormal="100" workbookViewId="0">
      <selection sqref="A1:R54"/>
    </sheetView>
  </sheetViews>
  <sheetFormatPr defaultRowHeight="14.4" x14ac:dyDescent="0.3"/>
  <cols>
    <col min="1" max="1" width="8.44140625" bestFit="1" customWidth="1"/>
    <col min="2" max="2" width="6.109375" bestFit="1" customWidth="1"/>
    <col min="3" max="3" width="7.109375" style="89" bestFit="1" customWidth="1"/>
    <col min="4" max="4" width="7.21875" bestFit="1" customWidth="1"/>
    <col min="5" max="5" width="4.21875" bestFit="1" customWidth="1"/>
    <col min="6" max="6" width="5.33203125" bestFit="1" customWidth="1"/>
    <col min="7" max="7" width="6.6640625" bestFit="1" customWidth="1"/>
    <col min="8" max="9" width="5.44140625" bestFit="1" customWidth="1"/>
    <col min="10" max="10" width="4.6640625" bestFit="1" customWidth="1"/>
    <col min="11" max="11" width="4.44140625" customWidth="1"/>
    <col min="12" max="12" width="6" bestFit="1" customWidth="1"/>
    <col min="13" max="13" width="6.44140625" bestFit="1" customWidth="1"/>
    <col min="14" max="14" width="5.109375" bestFit="1" customWidth="1"/>
    <col min="15" max="15" width="3.88671875" bestFit="1" customWidth="1"/>
    <col min="16" max="16" width="4.21875" bestFit="1" customWidth="1"/>
    <col min="17" max="17" width="4.33203125" bestFit="1" customWidth="1"/>
    <col min="18" max="18" width="4.77734375" bestFit="1" customWidth="1"/>
    <col min="19" max="19" width="9.5546875" bestFit="1" customWidth="1"/>
    <col min="20" max="20" width="29.88671875" bestFit="1" customWidth="1"/>
    <col min="21" max="21" width="22.44140625" bestFit="1" customWidth="1"/>
    <col min="22" max="22" width="14.44140625" bestFit="1" customWidth="1"/>
    <col min="23" max="23" width="19.109375" bestFit="1" customWidth="1"/>
    <col min="24" max="24" width="16.77734375" bestFit="1" customWidth="1"/>
    <col min="25" max="25" width="18.44140625" bestFit="1" customWidth="1"/>
    <col min="26" max="26" width="19.88671875" bestFit="1" customWidth="1"/>
    <col min="27" max="27" width="16.44140625" bestFit="1" customWidth="1"/>
    <col min="31" max="31" width="8.21875" bestFit="1" customWidth="1"/>
    <col min="32" max="32" width="7.44140625" bestFit="1" customWidth="1"/>
    <col min="33" max="33" width="8.33203125" bestFit="1" customWidth="1"/>
    <col min="34" max="34" width="5.88671875" bestFit="1" customWidth="1"/>
  </cols>
  <sheetData>
    <row r="1" spans="1:27" ht="24.6" customHeight="1" thickBot="1" x14ac:dyDescent="0.35">
      <c r="A1" s="90" t="s">
        <v>294</v>
      </c>
      <c r="B1" s="90"/>
      <c r="C1" s="90"/>
      <c r="D1" s="90"/>
      <c r="E1" s="90"/>
      <c r="F1" s="90"/>
      <c r="G1" s="90"/>
      <c r="H1" s="90"/>
      <c r="I1" s="90"/>
      <c r="J1" s="90"/>
      <c r="K1" s="90"/>
      <c r="L1" s="90"/>
      <c r="M1" s="90"/>
      <c r="N1" s="90"/>
      <c r="O1" s="90"/>
      <c r="P1" s="90"/>
      <c r="Q1" s="90"/>
      <c r="R1" s="90"/>
    </row>
    <row r="2" spans="1:27" ht="15.6" thickTop="1" x14ac:dyDescent="0.35">
      <c r="A2" s="91"/>
      <c r="B2" s="91"/>
      <c r="C2" s="92" t="s">
        <v>283</v>
      </c>
      <c r="D2" s="92"/>
      <c r="E2" s="92"/>
      <c r="F2" s="92" t="s">
        <v>284</v>
      </c>
      <c r="G2" s="92"/>
      <c r="H2" s="92"/>
      <c r="I2" s="92"/>
      <c r="J2" s="92"/>
      <c r="K2" s="92" t="s">
        <v>285</v>
      </c>
      <c r="L2" s="92"/>
      <c r="M2" s="92"/>
      <c r="N2" s="92"/>
      <c r="O2" s="92"/>
      <c r="P2" s="92" t="s">
        <v>142</v>
      </c>
      <c r="Q2" s="92"/>
      <c r="R2" s="93" t="s">
        <v>286</v>
      </c>
    </row>
    <row r="3" spans="1:27" ht="26.4" x14ac:dyDescent="0.3">
      <c r="A3" s="94" t="s">
        <v>277</v>
      </c>
      <c r="B3" s="95" t="s">
        <v>0</v>
      </c>
      <c r="C3" s="96" t="s">
        <v>1</v>
      </c>
      <c r="D3" s="97" t="s">
        <v>2</v>
      </c>
      <c r="E3" s="97" t="s">
        <v>111</v>
      </c>
      <c r="F3" s="97" t="s">
        <v>4</v>
      </c>
      <c r="G3" s="97" t="s">
        <v>103</v>
      </c>
      <c r="H3" s="98" t="s">
        <v>287</v>
      </c>
      <c r="I3" s="98" t="s">
        <v>288</v>
      </c>
      <c r="J3" s="97" t="s">
        <v>6</v>
      </c>
      <c r="K3" s="98" t="s">
        <v>7</v>
      </c>
      <c r="L3" s="98" t="s">
        <v>289</v>
      </c>
      <c r="M3" s="98" t="s">
        <v>290</v>
      </c>
      <c r="N3" s="97" t="s">
        <v>10</v>
      </c>
      <c r="O3" s="98" t="s">
        <v>291</v>
      </c>
      <c r="P3" s="98" t="s">
        <v>292</v>
      </c>
      <c r="Q3" s="98" t="s">
        <v>293</v>
      </c>
      <c r="R3" s="97" t="s">
        <v>286</v>
      </c>
      <c r="S3" s="5" t="s">
        <v>66</v>
      </c>
      <c r="T3" s="5" t="s">
        <v>173</v>
      </c>
      <c r="U3" s="5" t="s">
        <v>174</v>
      </c>
      <c r="V3" s="5" t="s">
        <v>67</v>
      </c>
      <c r="W3" s="5" t="s">
        <v>68</v>
      </c>
      <c r="X3" s="5" t="s">
        <v>69</v>
      </c>
      <c r="Y3" s="5" t="s">
        <v>70</v>
      </c>
      <c r="Z3" s="5" t="s">
        <v>71</v>
      </c>
      <c r="AA3" s="5" t="s">
        <v>72</v>
      </c>
    </row>
    <row r="4" spans="1:27" ht="16.2" customHeight="1" x14ac:dyDescent="0.35">
      <c r="A4" s="99" t="s">
        <v>278</v>
      </c>
      <c r="B4" s="100" t="s">
        <v>15</v>
      </c>
      <c r="C4" s="101">
        <v>0</v>
      </c>
      <c r="D4" s="102">
        <v>0</v>
      </c>
      <c r="E4" s="102">
        <v>1</v>
      </c>
      <c r="F4" s="102">
        <v>0</v>
      </c>
      <c r="G4" s="102">
        <v>6</v>
      </c>
      <c r="H4" s="102">
        <v>0</v>
      </c>
      <c r="I4" s="102">
        <v>0</v>
      </c>
      <c r="J4" s="102">
        <v>0</v>
      </c>
      <c r="K4" s="102">
        <v>0</v>
      </c>
      <c r="L4" s="102">
        <v>0</v>
      </c>
      <c r="M4" s="102">
        <v>2</v>
      </c>
      <c r="N4" s="102">
        <v>0</v>
      </c>
      <c r="O4" s="102">
        <v>0</v>
      </c>
      <c r="P4" s="102">
        <v>0</v>
      </c>
      <c r="Q4" s="102">
        <v>2</v>
      </c>
      <c r="R4" s="102">
        <v>4</v>
      </c>
      <c r="S4" s="5">
        <v>3</v>
      </c>
      <c r="T4" s="5">
        <v>1</v>
      </c>
      <c r="U4" s="14">
        <v>73.5</v>
      </c>
      <c r="V4" s="5">
        <v>0</v>
      </c>
      <c r="W4" s="5">
        <v>0</v>
      </c>
      <c r="X4" s="5">
        <v>0</v>
      </c>
      <c r="Y4" s="5">
        <v>1</v>
      </c>
      <c r="Z4" s="5">
        <v>0</v>
      </c>
      <c r="AA4" s="5">
        <v>0</v>
      </c>
    </row>
    <row r="5" spans="1:27" ht="16.2" x14ac:dyDescent="0.35">
      <c r="A5" s="103"/>
      <c r="B5" s="100" t="s">
        <v>16</v>
      </c>
      <c r="C5" s="101">
        <v>0</v>
      </c>
      <c r="D5" s="102">
        <v>0</v>
      </c>
      <c r="E5" s="102">
        <v>0</v>
      </c>
      <c r="F5" s="102">
        <v>1</v>
      </c>
      <c r="G5" s="102">
        <v>2</v>
      </c>
      <c r="H5" s="102">
        <v>0</v>
      </c>
      <c r="I5" s="102">
        <v>0</v>
      </c>
      <c r="J5" s="102">
        <v>0</v>
      </c>
      <c r="K5" s="102">
        <v>0</v>
      </c>
      <c r="L5" s="102">
        <v>0</v>
      </c>
      <c r="M5" s="102">
        <v>0</v>
      </c>
      <c r="N5" s="102">
        <v>0</v>
      </c>
      <c r="O5" s="102">
        <v>0</v>
      </c>
      <c r="P5" s="102">
        <v>0</v>
      </c>
      <c r="Q5" s="102">
        <v>0</v>
      </c>
      <c r="R5" s="102">
        <v>3</v>
      </c>
      <c r="S5" s="5">
        <v>1</v>
      </c>
      <c r="T5" s="5">
        <v>8</v>
      </c>
      <c r="U5" s="14">
        <v>64</v>
      </c>
      <c r="V5" s="5">
        <v>0</v>
      </c>
      <c r="W5" s="5">
        <v>1</v>
      </c>
      <c r="X5" s="5">
        <v>0</v>
      </c>
      <c r="Y5" s="5">
        <v>0</v>
      </c>
      <c r="Z5" s="5">
        <v>0</v>
      </c>
      <c r="AA5" s="5">
        <v>0</v>
      </c>
    </row>
    <row r="6" spans="1:27" s="60" customFormat="1" ht="16.2" x14ac:dyDescent="0.35">
      <c r="A6" s="104"/>
      <c r="B6" s="105" t="s">
        <v>17</v>
      </c>
      <c r="C6" s="106">
        <v>0</v>
      </c>
      <c r="D6" s="97">
        <v>0</v>
      </c>
      <c r="E6" s="97">
        <v>0</v>
      </c>
      <c r="F6" s="97">
        <v>0</v>
      </c>
      <c r="G6" s="97">
        <v>0</v>
      </c>
      <c r="H6" s="97">
        <v>0</v>
      </c>
      <c r="I6" s="97">
        <v>0</v>
      </c>
      <c r="J6" s="97">
        <v>0</v>
      </c>
      <c r="K6" s="97">
        <v>0</v>
      </c>
      <c r="L6" s="97">
        <v>0</v>
      </c>
      <c r="M6" s="97">
        <v>0</v>
      </c>
      <c r="N6" s="97">
        <v>0</v>
      </c>
      <c r="O6" s="97">
        <v>0</v>
      </c>
      <c r="P6" s="97">
        <v>1</v>
      </c>
      <c r="Q6" s="97">
        <v>0</v>
      </c>
      <c r="R6" s="97">
        <v>0</v>
      </c>
      <c r="S6" s="87">
        <v>3</v>
      </c>
      <c r="T6" s="87">
        <v>12</v>
      </c>
      <c r="U6" s="88">
        <v>72.5</v>
      </c>
      <c r="V6" s="87">
        <v>0</v>
      </c>
      <c r="W6" s="87">
        <v>1</v>
      </c>
      <c r="X6" s="87">
        <v>1</v>
      </c>
      <c r="Y6" s="87">
        <v>0</v>
      </c>
      <c r="Z6" s="87">
        <v>0</v>
      </c>
      <c r="AA6" s="87">
        <v>0</v>
      </c>
    </row>
    <row r="7" spans="1:27" ht="16.2" customHeight="1" x14ac:dyDescent="0.35">
      <c r="A7" s="99" t="s">
        <v>279</v>
      </c>
      <c r="B7" s="100" t="s">
        <v>18</v>
      </c>
      <c r="C7" s="101">
        <v>0</v>
      </c>
      <c r="D7" s="102">
        <v>0</v>
      </c>
      <c r="E7" s="102">
        <v>2</v>
      </c>
      <c r="F7" s="102">
        <v>1</v>
      </c>
      <c r="G7" s="102">
        <v>0</v>
      </c>
      <c r="H7" s="102">
        <v>0</v>
      </c>
      <c r="I7" s="102">
        <v>0</v>
      </c>
      <c r="J7" s="102">
        <v>0</v>
      </c>
      <c r="K7" s="102">
        <v>0</v>
      </c>
      <c r="L7" s="102">
        <v>1</v>
      </c>
      <c r="M7" s="102">
        <v>0</v>
      </c>
      <c r="N7" s="102">
        <v>0</v>
      </c>
      <c r="O7" s="102">
        <v>0</v>
      </c>
      <c r="P7" s="102">
        <v>0</v>
      </c>
      <c r="Q7" s="102">
        <v>0</v>
      </c>
      <c r="R7" s="102">
        <v>2</v>
      </c>
      <c r="S7" s="5">
        <v>3</v>
      </c>
      <c r="T7" s="5">
        <v>2</v>
      </c>
      <c r="U7" s="14">
        <v>30</v>
      </c>
      <c r="V7" s="5">
        <v>0</v>
      </c>
      <c r="W7" s="5">
        <v>0</v>
      </c>
      <c r="X7" s="5">
        <v>1</v>
      </c>
      <c r="Y7" s="5">
        <v>0</v>
      </c>
      <c r="Z7" s="5">
        <v>0</v>
      </c>
      <c r="AA7" s="5">
        <v>0</v>
      </c>
    </row>
    <row r="8" spans="1:27" ht="16.2" x14ac:dyDescent="0.35">
      <c r="A8" s="103"/>
      <c r="B8" s="100" t="s">
        <v>19</v>
      </c>
      <c r="C8" s="101">
        <v>2</v>
      </c>
      <c r="D8" s="102">
        <v>0</v>
      </c>
      <c r="E8" s="102">
        <v>18</v>
      </c>
      <c r="F8" s="102">
        <v>4</v>
      </c>
      <c r="G8" s="102">
        <v>22</v>
      </c>
      <c r="H8" s="102">
        <v>33</v>
      </c>
      <c r="I8" s="102">
        <v>0</v>
      </c>
      <c r="J8" s="102">
        <v>0</v>
      </c>
      <c r="K8" s="102">
        <v>0</v>
      </c>
      <c r="L8" s="102">
        <v>1</v>
      </c>
      <c r="M8" s="102">
        <v>7</v>
      </c>
      <c r="N8" s="102">
        <v>1</v>
      </c>
      <c r="O8" s="102">
        <v>0</v>
      </c>
      <c r="P8" s="102">
        <v>0</v>
      </c>
      <c r="Q8" s="102">
        <v>0</v>
      </c>
      <c r="R8" s="102">
        <v>15</v>
      </c>
      <c r="S8" s="5">
        <v>2</v>
      </c>
      <c r="T8" s="5">
        <v>14</v>
      </c>
      <c r="U8" s="14">
        <v>28.25</v>
      </c>
      <c r="V8" s="5">
        <v>0</v>
      </c>
      <c r="W8" s="5">
        <v>0</v>
      </c>
      <c r="X8" s="5">
        <v>1</v>
      </c>
      <c r="Y8" s="5">
        <v>0</v>
      </c>
      <c r="Z8" s="5">
        <v>0</v>
      </c>
      <c r="AA8" s="5">
        <v>0</v>
      </c>
    </row>
    <row r="9" spans="1:27" ht="16.2" x14ac:dyDescent="0.35">
      <c r="A9" s="103"/>
      <c r="B9" s="100" t="s">
        <v>20</v>
      </c>
      <c r="C9" s="101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1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5">
        <v>2</v>
      </c>
      <c r="T9" s="5">
        <v>4</v>
      </c>
      <c r="U9" s="14">
        <v>26</v>
      </c>
      <c r="V9" s="5">
        <v>1</v>
      </c>
      <c r="W9" s="5">
        <v>1</v>
      </c>
      <c r="X9" s="5">
        <v>0</v>
      </c>
      <c r="Y9" s="5">
        <v>0</v>
      </c>
      <c r="Z9" s="5">
        <v>0</v>
      </c>
      <c r="AA9" s="5">
        <v>0</v>
      </c>
    </row>
    <row r="10" spans="1:27" ht="16.2" x14ac:dyDescent="0.35">
      <c r="A10" s="103"/>
      <c r="B10" s="100" t="s">
        <v>21</v>
      </c>
      <c r="C10" s="101">
        <v>0</v>
      </c>
      <c r="D10" s="102">
        <v>0</v>
      </c>
      <c r="E10" s="102">
        <v>0</v>
      </c>
      <c r="F10" s="102">
        <v>0</v>
      </c>
      <c r="G10" s="102">
        <v>0</v>
      </c>
      <c r="H10" s="102">
        <v>0</v>
      </c>
      <c r="I10" s="102">
        <v>0</v>
      </c>
      <c r="J10" s="102">
        <v>0</v>
      </c>
      <c r="K10" s="102">
        <v>0</v>
      </c>
      <c r="L10" s="102">
        <v>0</v>
      </c>
      <c r="M10" s="102">
        <v>0</v>
      </c>
      <c r="N10" s="102">
        <v>0</v>
      </c>
      <c r="O10" s="102">
        <v>0</v>
      </c>
      <c r="P10" s="102">
        <v>0</v>
      </c>
      <c r="Q10" s="102">
        <v>0</v>
      </c>
      <c r="R10" s="102">
        <v>2</v>
      </c>
      <c r="S10" s="5">
        <v>2</v>
      </c>
      <c r="T10" s="5">
        <v>4</v>
      </c>
      <c r="U10" s="14">
        <v>22.5</v>
      </c>
      <c r="V10" s="5">
        <v>0</v>
      </c>
      <c r="W10" s="5">
        <v>1</v>
      </c>
      <c r="X10" s="5">
        <v>1</v>
      </c>
      <c r="Y10" s="5">
        <v>0</v>
      </c>
      <c r="Z10" s="5">
        <v>0</v>
      </c>
      <c r="AA10" s="5">
        <v>0</v>
      </c>
    </row>
    <row r="11" spans="1:27" ht="16.2" x14ac:dyDescent="0.35">
      <c r="A11" s="103"/>
      <c r="B11" s="100" t="s">
        <v>22</v>
      </c>
      <c r="C11" s="101">
        <v>0</v>
      </c>
      <c r="D11" s="102">
        <v>0</v>
      </c>
      <c r="E11" s="102">
        <v>0</v>
      </c>
      <c r="F11" s="102">
        <v>0</v>
      </c>
      <c r="G11" s="102">
        <v>0</v>
      </c>
      <c r="H11" s="102">
        <v>0</v>
      </c>
      <c r="I11" s="102">
        <v>0</v>
      </c>
      <c r="J11" s="102">
        <v>0</v>
      </c>
      <c r="K11" s="102">
        <v>0</v>
      </c>
      <c r="L11" s="102">
        <v>0</v>
      </c>
      <c r="M11" s="102">
        <v>0</v>
      </c>
      <c r="N11" s="102">
        <v>0</v>
      </c>
      <c r="O11" s="102">
        <v>0</v>
      </c>
      <c r="P11" s="102">
        <v>0</v>
      </c>
      <c r="Q11" s="102">
        <v>0</v>
      </c>
      <c r="R11" s="102">
        <v>1</v>
      </c>
      <c r="S11" s="5">
        <v>2</v>
      </c>
      <c r="T11" s="5">
        <v>1</v>
      </c>
      <c r="U11" s="14">
        <v>25</v>
      </c>
      <c r="V11" s="5"/>
      <c r="W11" s="5"/>
      <c r="X11" s="5"/>
      <c r="Y11" s="5"/>
      <c r="Z11" s="5"/>
      <c r="AA11" s="5"/>
    </row>
    <row r="12" spans="1:27" ht="16.2" x14ac:dyDescent="0.35">
      <c r="A12" s="103"/>
      <c r="B12" s="100" t="s">
        <v>23</v>
      </c>
      <c r="C12" s="101">
        <v>9</v>
      </c>
      <c r="D12" s="102">
        <v>0</v>
      </c>
      <c r="E12" s="102">
        <v>62</v>
      </c>
      <c r="F12" s="102">
        <v>15</v>
      </c>
      <c r="G12" s="102">
        <v>13</v>
      </c>
      <c r="H12" s="102">
        <v>10</v>
      </c>
      <c r="I12" s="102">
        <v>0</v>
      </c>
      <c r="J12" s="102">
        <v>0</v>
      </c>
      <c r="K12" s="102">
        <v>3</v>
      </c>
      <c r="L12" s="102">
        <v>6</v>
      </c>
      <c r="M12" s="102">
        <v>0</v>
      </c>
      <c r="N12" s="102">
        <v>0</v>
      </c>
      <c r="O12" s="102">
        <v>1</v>
      </c>
      <c r="P12" s="102">
        <v>0</v>
      </c>
      <c r="Q12" s="102">
        <v>0</v>
      </c>
      <c r="R12" s="102">
        <v>8</v>
      </c>
      <c r="S12" s="5">
        <v>2</v>
      </c>
      <c r="T12" s="5">
        <v>4</v>
      </c>
      <c r="U12" s="14">
        <v>24</v>
      </c>
      <c r="V12" s="5">
        <v>0</v>
      </c>
      <c r="W12" s="5">
        <v>1</v>
      </c>
      <c r="X12" s="5">
        <v>0</v>
      </c>
      <c r="Y12" s="5">
        <v>0</v>
      </c>
      <c r="Z12" s="5">
        <v>0</v>
      </c>
      <c r="AA12" s="5">
        <v>0</v>
      </c>
    </row>
    <row r="13" spans="1:27" s="60" customFormat="1" ht="16.2" x14ac:dyDescent="0.35">
      <c r="A13" s="104"/>
      <c r="B13" s="105" t="s">
        <v>24</v>
      </c>
      <c r="C13" s="106">
        <v>3</v>
      </c>
      <c r="D13" s="97">
        <v>0</v>
      </c>
      <c r="E13" s="97">
        <v>12</v>
      </c>
      <c r="F13" s="97">
        <v>6</v>
      </c>
      <c r="G13" s="97">
        <v>5</v>
      </c>
      <c r="H13" s="97">
        <v>16</v>
      </c>
      <c r="I13" s="97">
        <v>1</v>
      </c>
      <c r="J13" s="97">
        <v>0</v>
      </c>
      <c r="K13" s="97">
        <v>2</v>
      </c>
      <c r="L13" s="97">
        <v>4</v>
      </c>
      <c r="M13" s="97">
        <v>0</v>
      </c>
      <c r="N13" s="97">
        <v>0</v>
      </c>
      <c r="O13" s="97">
        <v>0</v>
      </c>
      <c r="P13" s="97">
        <v>0</v>
      </c>
      <c r="Q13" s="97">
        <v>0</v>
      </c>
      <c r="R13" s="97">
        <v>13</v>
      </c>
      <c r="S13" s="87">
        <v>1</v>
      </c>
      <c r="T13" s="87">
        <v>6</v>
      </c>
      <c r="U13" s="88">
        <v>26.5</v>
      </c>
      <c r="V13" s="87">
        <v>0</v>
      </c>
      <c r="W13" s="87">
        <v>1</v>
      </c>
      <c r="X13" s="87">
        <v>0</v>
      </c>
      <c r="Y13" s="87">
        <v>0</v>
      </c>
      <c r="Z13" s="87">
        <v>0</v>
      </c>
      <c r="AA13" s="87">
        <v>0</v>
      </c>
    </row>
    <row r="14" spans="1:27" ht="16.2" customHeight="1" x14ac:dyDescent="0.35">
      <c r="A14" s="99" t="s">
        <v>280</v>
      </c>
      <c r="B14" s="100" t="s">
        <v>25</v>
      </c>
      <c r="C14" s="101">
        <v>5</v>
      </c>
      <c r="D14" s="102">
        <v>0</v>
      </c>
      <c r="E14" s="102">
        <v>20</v>
      </c>
      <c r="F14" s="102">
        <v>13</v>
      </c>
      <c r="G14" s="102">
        <v>9</v>
      </c>
      <c r="H14" s="102">
        <v>3</v>
      </c>
      <c r="I14" s="102">
        <v>2</v>
      </c>
      <c r="J14" s="102">
        <v>0</v>
      </c>
      <c r="K14" s="102">
        <v>4</v>
      </c>
      <c r="L14" s="102">
        <v>11</v>
      </c>
      <c r="M14" s="102">
        <v>4</v>
      </c>
      <c r="N14" s="102">
        <v>3</v>
      </c>
      <c r="O14" s="102">
        <v>0</v>
      </c>
      <c r="P14" s="102">
        <v>0</v>
      </c>
      <c r="Q14" s="102">
        <v>1</v>
      </c>
      <c r="R14" s="102">
        <v>34</v>
      </c>
      <c r="S14" s="5">
        <v>3</v>
      </c>
      <c r="T14" s="5">
        <v>15</v>
      </c>
      <c r="U14" s="14">
        <v>46.5</v>
      </c>
      <c r="V14" s="5">
        <v>0</v>
      </c>
      <c r="W14" s="5">
        <v>0</v>
      </c>
      <c r="X14" s="5">
        <v>1</v>
      </c>
      <c r="Y14" s="5">
        <v>0</v>
      </c>
      <c r="Z14" s="5">
        <v>0</v>
      </c>
      <c r="AA14" s="5">
        <v>0</v>
      </c>
    </row>
    <row r="15" spans="1:27" ht="16.2" x14ac:dyDescent="0.35">
      <c r="A15" s="103"/>
      <c r="B15" s="100" t="s">
        <v>26</v>
      </c>
      <c r="C15" s="101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1</v>
      </c>
      <c r="S15" s="5">
        <v>3</v>
      </c>
      <c r="T15" s="5">
        <v>8</v>
      </c>
      <c r="U15" s="14">
        <v>44</v>
      </c>
      <c r="V15" s="5">
        <v>0</v>
      </c>
      <c r="W15" s="5">
        <v>0</v>
      </c>
      <c r="X15" s="5">
        <v>1</v>
      </c>
      <c r="Y15" s="5">
        <v>0</v>
      </c>
      <c r="Z15" s="5">
        <v>0</v>
      </c>
      <c r="AA15" s="5">
        <v>0</v>
      </c>
    </row>
    <row r="16" spans="1:27" ht="16.2" x14ac:dyDescent="0.35">
      <c r="A16" s="103"/>
      <c r="B16" s="100" t="s">
        <v>27</v>
      </c>
      <c r="C16" s="101">
        <v>5</v>
      </c>
      <c r="D16" s="102">
        <v>2</v>
      </c>
      <c r="E16" s="102">
        <v>25</v>
      </c>
      <c r="F16" s="102">
        <v>65</v>
      </c>
      <c r="G16" s="102">
        <v>25</v>
      </c>
      <c r="H16" s="102">
        <v>37</v>
      </c>
      <c r="I16" s="102">
        <v>5</v>
      </c>
      <c r="J16" s="102">
        <v>4</v>
      </c>
      <c r="K16" s="102">
        <v>20</v>
      </c>
      <c r="L16" s="102">
        <v>4</v>
      </c>
      <c r="M16" s="102">
        <v>19</v>
      </c>
      <c r="N16" s="102">
        <v>28</v>
      </c>
      <c r="O16" s="102">
        <v>4</v>
      </c>
      <c r="P16" s="102">
        <v>91</v>
      </c>
      <c r="Q16" s="102">
        <v>163</v>
      </c>
      <c r="R16" s="102">
        <v>35</v>
      </c>
      <c r="S16" s="5">
        <v>3</v>
      </c>
      <c r="T16" s="5">
        <v>1</v>
      </c>
      <c r="U16" s="14">
        <v>59</v>
      </c>
      <c r="V16" s="5">
        <v>0</v>
      </c>
      <c r="W16" s="5">
        <v>0</v>
      </c>
      <c r="X16" s="5">
        <v>0</v>
      </c>
      <c r="Y16" s="5">
        <v>1</v>
      </c>
      <c r="Z16" s="5">
        <v>0</v>
      </c>
      <c r="AA16" s="5">
        <v>0</v>
      </c>
    </row>
    <row r="17" spans="1:27" ht="16.2" x14ac:dyDescent="0.35">
      <c r="A17" s="103"/>
      <c r="B17" s="100" t="s">
        <v>28</v>
      </c>
      <c r="C17" s="101">
        <v>0</v>
      </c>
      <c r="D17" s="102">
        <v>0</v>
      </c>
      <c r="E17" s="102">
        <v>0</v>
      </c>
      <c r="F17" s="102">
        <v>5</v>
      </c>
      <c r="G17" s="102">
        <v>1</v>
      </c>
      <c r="H17" s="102">
        <v>0</v>
      </c>
      <c r="I17" s="102">
        <v>0</v>
      </c>
      <c r="J17" s="102">
        <v>0</v>
      </c>
      <c r="K17" s="102">
        <v>1</v>
      </c>
      <c r="L17" s="102">
        <v>0</v>
      </c>
      <c r="M17" s="102">
        <v>1</v>
      </c>
      <c r="N17" s="102">
        <v>5</v>
      </c>
      <c r="O17" s="102">
        <v>0</v>
      </c>
      <c r="P17" s="102">
        <v>0</v>
      </c>
      <c r="Q17" s="102">
        <v>0</v>
      </c>
      <c r="R17" s="102">
        <v>10</v>
      </c>
      <c r="S17" s="5">
        <v>1</v>
      </c>
      <c r="T17" s="5">
        <v>2</v>
      </c>
      <c r="U17" s="14">
        <v>58</v>
      </c>
      <c r="V17" s="5">
        <v>0</v>
      </c>
      <c r="W17" s="5">
        <v>0</v>
      </c>
      <c r="X17" s="5">
        <v>1</v>
      </c>
      <c r="Y17" s="5">
        <v>1</v>
      </c>
      <c r="Z17" s="5">
        <v>0</v>
      </c>
      <c r="AA17" s="5">
        <v>0</v>
      </c>
    </row>
    <row r="18" spans="1:27" ht="16.2" x14ac:dyDescent="0.35">
      <c r="A18" s="103"/>
      <c r="B18" s="100" t="s">
        <v>29</v>
      </c>
      <c r="C18" s="101">
        <v>4</v>
      </c>
      <c r="D18" s="102">
        <v>0</v>
      </c>
      <c r="E18" s="102">
        <v>58</v>
      </c>
      <c r="F18" s="102">
        <v>0</v>
      </c>
      <c r="G18" s="102">
        <v>0</v>
      </c>
      <c r="H18" s="102">
        <v>3</v>
      </c>
      <c r="I18" s="102">
        <v>0</v>
      </c>
      <c r="J18" s="102">
        <v>0</v>
      </c>
      <c r="K18" s="102">
        <v>0</v>
      </c>
      <c r="L18" s="102">
        <v>14</v>
      </c>
      <c r="M18" s="102">
        <v>7</v>
      </c>
      <c r="N18" s="102">
        <v>2</v>
      </c>
      <c r="O18" s="102">
        <v>0</v>
      </c>
      <c r="P18" s="102">
        <v>0</v>
      </c>
      <c r="Q18" s="102">
        <v>0</v>
      </c>
      <c r="R18" s="102">
        <v>2</v>
      </c>
      <c r="S18" s="5">
        <v>3</v>
      </c>
      <c r="T18" s="5">
        <v>4</v>
      </c>
      <c r="U18" s="14">
        <v>37.25</v>
      </c>
      <c r="V18" s="5">
        <v>0</v>
      </c>
      <c r="W18" s="5">
        <v>0</v>
      </c>
      <c r="X18" s="5">
        <v>1</v>
      </c>
      <c r="Y18" s="5">
        <v>0</v>
      </c>
      <c r="Z18" s="5">
        <v>0</v>
      </c>
      <c r="AA18" s="5">
        <v>0</v>
      </c>
    </row>
    <row r="19" spans="1:27" ht="16.2" x14ac:dyDescent="0.35">
      <c r="A19" s="103"/>
      <c r="B19" s="100" t="s">
        <v>30</v>
      </c>
      <c r="C19" s="101">
        <v>7</v>
      </c>
      <c r="D19" s="102">
        <v>26</v>
      </c>
      <c r="E19" s="102">
        <v>9</v>
      </c>
      <c r="F19" s="102">
        <v>7</v>
      </c>
      <c r="G19" s="102">
        <v>22</v>
      </c>
      <c r="H19" s="102">
        <v>0</v>
      </c>
      <c r="I19" s="102">
        <v>1</v>
      </c>
      <c r="J19" s="102">
        <v>3</v>
      </c>
      <c r="K19" s="102">
        <v>6</v>
      </c>
      <c r="L19" s="102">
        <v>9</v>
      </c>
      <c r="M19" s="102">
        <v>13</v>
      </c>
      <c r="N19" s="102">
        <v>4</v>
      </c>
      <c r="O19" s="102">
        <v>2</v>
      </c>
      <c r="P19" s="102">
        <v>47</v>
      </c>
      <c r="Q19" s="102">
        <v>3</v>
      </c>
      <c r="R19" s="102">
        <v>58</v>
      </c>
      <c r="S19" s="5">
        <v>3</v>
      </c>
      <c r="T19" s="5">
        <v>17</v>
      </c>
      <c r="U19" s="14">
        <v>56.25</v>
      </c>
      <c r="V19" s="5">
        <v>0</v>
      </c>
      <c r="W19" s="5">
        <v>0</v>
      </c>
      <c r="X19" s="5">
        <v>1</v>
      </c>
      <c r="Y19" s="5">
        <v>1</v>
      </c>
      <c r="Z19" s="5">
        <v>0</v>
      </c>
      <c r="AA19" s="5">
        <v>0</v>
      </c>
    </row>
    <row r="20" spans="1:27" ht="16.2" x14ac:dyDescent="0.35">
      <c r="A20" s="103"/>
      <c r="B20" s="100" t="s">
        <v>31</v>
      </c>
      <c r="C20" s="101">
        <v>0</v>
      </c>
      <c r="D20" s="102">
        <v>0</v>
      </c>
      <c r="E20" s="102">
        <v>0</v>
      </c>
      <c r="F20" s="102">
        <v>0</v>
      </c>
      <c r="G20" s="102">
        <v>0</v>
      </c>
      <c r="H20" s="102">
        <v>0</v>
      </c>
      <c r="I20" s="102">
        <v>0</v>
      </c>
      <c r="J20" s="102">
        <v>0</v>
      </c>
      <c r="K20" s="102">
        <v>0</v>
      </c>
      <c r="L20" s="102">
        <v>0</v>
      </c>
      <c r="M20" s="102">
        <v>0</v>
      </c>
      <c r="N20" s="102">
        <v>2</v>
      </c>
      <c r="O20" s="102">
        <v>0</v>
      </c>
      <c r="P20" s="102">
        <v>0</v>
      </c>
      <c r="Q20" s="102">
        <v>0</v>
      </c>
      <c r="R20" s="102">
        <v>0</v>
      </c>
      <c r="S20" s="5">
        <v>3</v>
      </c>
      <c r="T20" s="5">
        <v>2</v>
      </c>
      <c r="U20" s="14">
        <v>43</v>
      </c>
      <c r="V20" s="5">
        <v>0</v>
      </c>
      <c r="W20" s="5">
        <v>1</v>
      </c>
      <c r="X20" s="5">
        <v>0</v>
      </c>
      <c r="Y20" s="5">
        <v>0</v>
      </c>
      <c r="Z20" s="5">
        <v>0</v>
      </c>
      <c r="AA20" s="5">
        <v>0</v>
      </c>
    </row>
    <row r="21" spans="1:27" ht="16.2" x14ac:dyDescent="0.35">
      <c r="A21" s="103"/>
      <c r="B21" s="100" t="s">
        <v>32</v>
      </c>
      <c r="C21" s="101">
        <v>0</v>
      </c>
      <c r="D21" s="102">
        <v>0</v>
      </c>
      <c r="E21" s="102">
        <v>5</v>
      </c>
      <c r="F21" s="102">
        <v>2</v>
      </c>
      <c r="G21" s="102">
        <v>2</v>
      </c>
      <c r="H21" s="102">
        <v>0</v>
      </c>
      <c r="I21" s="102">
        <v>0</v>
      </c>
      <c r="J21" s="102">
        <v>0</v>
      </c>
      <c r="K21" s="102">
        <v>2</v>
      </c>
      <c r="L21" s="102">
        <v>0</v>
      </c>
      <c r="M21" s="102">
        <v>3</v>
      </c>
      <c r="N21" s="102">
        <v>7</v>
      </c>
      <c r="O21" s="102">
        <v>1</v>
      </c>
      <c r="P21" s="102">
        <v>5</v>
      </c>
      <c r="Q21" s="102">
        <v>5</v>
      </c>
      <c r="R21" s="102">
        <v>10</v>
      </c>
      <c r="S21" s="5">
        <v>3</v>
      </c>
      <c r="T21" s="5">
        <v>10</v>
      </c>
      <c r="U21" s="14">
        <v>44.5</v>
      </c>
      <c r="V21" s="5">
        <v>0</v>
      </c>
      <c r="W21" s="5">
        <v>0</v>
      </c>
      <c r="X21" s="5">
        <v>1</v>
      </c>
      <c r="Y21" s="5">
        <v>0</v>
      </c>
      <c r="Z21" s="5">
        <v>0</v>
      </c>
      <c r="AA21" s="5">
        <v>0</v>
      </c>
    </row>
    <row r="22" spans="1:27" s="60" customFormat="1" ht="16.2" x14ac:dyDescent="0.35">
      <c r="A22" s="104"/>
      <c r="B22" s="105" t="s">
        <v>33</v>
      </c>
      <c r="C22" s="106">
        <v>0</v>
      </c>
      <c r="D22" s="97">
        <v>0</v>
      </c>
      <c r="E22" s="97">
        <v>0</v>
      </c>
      <c r="F22" s="97">
        <v>1</v>
      </c>
      <c r="G22" s="97">
        <v>0</v>
      </c>
      <c r="H22" s="97">
        <v>0</v>
      </c>
      <c r="I22" s="97">
        <v>0</v>
      </c>
      <c r="J22" s="97">
        <v>0</v>
      </c>
      <c r="K22" s="97">
        <v>0</v>
      </c>
      <c r="L22" s="97">
        <v>0</v>
      </c>
      <c r="M22" s="97">
        <v>0</v>
      </c>
      <c r="N22" s="97">
        <v>0</v>
      </c>
      <c r="O22" s="97">
        <v>0</v>
      </c>
      <c r="P22" s="97">
        <v>0</v>
      </c>
      <c r="Q22" s="97">
        <v>0</v>
      </c>
      <c r="R22" s="97">
        <v>5</v>
      </c>
      <c r="S22" s="87">
        <v>3</v>
      </c>
      <c r="T22" s="87">
        <v>4</v>
      </c>
      <c r="U22" s="88">
        <v>41.5</v>
      </c>
      <c r="V22" s="87"/>
      <c r="W22" s="87"/>
      <c r="X22" s="87"/>
      <c r="Y22" s="87"/>
      <c r="Z22" s="87"/>
      <c r="AA22" s="87"/>
    </row>
    <row r="23" spans="1:27" ht="16.2" customHeight="1" x14ac:dyDescent="0.35">
      <c r="A23" s="99" t="s">
        <v>281</v>
      </c>
      <c r="B23" s="100" t="s">
        <v>34</v>
      </c>
      <c r="C23" s="101">
        <v>1</v>
      </c>
      <c r="D23" s="102">
        <v>0</v>
      </c>
      <c r="E23" s="102">
        <v>6</v>
      </c>
      <c r="F23" s="102">
        <v>0</v>
      </c>
      <c r="G23" s="102">
        <v>0</v>
      </c>
      <c r="H23" s="102">
        <v>0</v>
      </c>
      <c r="I23" s="102">
        <v>5</v>
      </c>
      <c r="J23" s="102">
        <v>0</v>
      </c>
      <c r="K23" s="102">
        <v>0</v>
      </c>
      <c r="L23" s="102">
        <v>14</v>
      </c>
      <c r="M23" s="102">
        <v>1</v>
      </c>
      <c r="N23" s="102">
        <v>9</v>
      </c>
      <c r="O23" s="102">
        <v>0</v>
      </c>
      <c r="P23" s="102">
        <v>0</v>
      </c>
      <c r="Q23" s="102">
        <v>1</v>
      </c>
      <c r="R23" s="102">
        <v>12</v>
      </c>
      <c r="S23" s="5">
        <v>3</v>
      </c>
      <c r="T23" s="5">
        <v>5</v>
      </c>
      <c r="U23" s="14">
        <v>25</v>
      </c>
      <c r="V23" s="5">
        <v>1</v>
      </c>
      <c r="W23" s="5">
        <v>1</v>
      </c>
      <c r="X23" s="5">
        <v>0</v>
      </c>
      <c r="Y23" s="5">
        <v>0</v>
      </c>
      <c r="Z23" s="5">
        <v>0</v>
      </c>
      <c r="AA23" s="5">
        <v>1</v>
      </c>
    </row>
    <row r="24" spans="1:27" ht="16.2" x14ac:dyDescent="0.35">
      <c r="A24" s="103"/>
      <c r="B24" s="100" t="s">
        <v>35</v>
      </c>
      <c r="C24" s="101">
        <v>0</v>
      </c>
      <c r="D24" s="102">
        <v>0</v>
      </c>
      <c r="E24" s="102">
        <v>0</v>
      </c>
      <c r="F24" s="102">
        <v>0</v>
      </c>
      <c r="G24" s="102">
        <v>0</v>
      </c>
      <c r="H24" s="102">
        <v>0</v>
      </c>
      <c r="I24" s="102">
        <v>0</v>
      </c>
      <c r="J24" s="102">
        <v>0</v>
      </c>
      <c r="K24" s="102">
        <v>0</v>
      </c>
      <c r="L24" s="102">
        <v>0</v>
      </c>
      <c r="M24" s="102">
        <v>0</v>
      </c>
      <c r="N24" s="102">
        <v>0</v>
      </c>
      <c r="O24" s="102">
        <v>0</v>
      </c>
      <c r="P24" s="102">
        <v>3</v>
      </c>
      <c r="Q24" s="102">
        <v>2</v>
      </c>
      <c r="R24" s="102">
        <v>0</v>
      </c>
      <c r="S24" s="5">
        <v>3</v>
      </c>
      <c r="T24" s="5">
        <v>2</v>
      </c>
      <c r="U24" s="14">
        <v>23.5</v>
      </c>
      <c r="V24" s="5">
        <v>0</v>
      </c>
      <c r="W24" s="5">
        <v>0</v>
      </c>
      <c r="X24" s="5">
        <v>1</v>
      </c>
      <c r="Y24" s="5">
        <v>0</v>
      </c>
      <c r="Z24" s="5">
        <v>0</v>
      </c>
      <c r="AA24" s="5">
        <v>0</v>
      </c>
    </row>
    <row r="25" spans="1:27" ht="16.2" x14ac:dyDescent="0.35">
      <c r="A25" s="103"/>
      <c r="B25" s="100" t="s">
        <v>36</v>
      </c>
      <c r="C25" s="101">
        <v>3</v>
      </c>
      <c r="D25" s="102">
        <v>0</v>
      </c>
      <c r="E25" s="102">
        <v>1</v>
      </c>
      <c r="F25" s="102">
        <v>5</v>
      </c>
      <c r="G25" s="102">
        <v>12</v>
      </c>
      <c r="H25" s="102">
        <v>3</v>
      </c>
      <c r="I25" s="102">
        <v>0</v>
      </c>
      <c r="J25" s="102">
        <v>1</v>
      </c>
      <c r="K25" s="102">
        <v>0</v>
      </c>
      <c r="L25" s="102">
        <v>3</v>
      </c>
      <c r="M25" s="102">
        <v>21</v>
      </c>
      <c r="N25" s="102">
        <v>2</v>
      </c>
      <c r="O25" s="102">
        <v>0</v>
      </c>
      <c r="P25" s="102">
        <v>0</v>
      </c>
      <c r="Q25" s="102">
        <v>0</v>
      </c>
      <c r="R25" s="102">
        <v>20</v>
      </c>
      <c r="S25" s="5">
        <v>2</v>
      </c>
      <c r="T25" s="5">
        <v>48</v>
      </c>
      <c r="U25" s="14">
        <v>25.75</v>
      </c>
      <c r="V25" s="5">
        <v>0</v>
      </c>
      <c r="W25" s="5">
        <v>1</v>
      </c>
      <c r="X25" s="5">
        <v>0</v>
      </c>
      <c r="Y25" s="5">
        <v>1</v>
      </c>
      <c r="Z25" s="5">
        <v>0</v>
      </c>
      <c r="AA25" s="5">
        <v>0</v>
      </c>
    </row>
    <row r="26" spans="1:27" ht="16.2" x14ac:dyDescent="0.35">
      <c r="A26" s="103"/>
      <c r="B26" s="100" t="s">
        <v>37</v>
      </c>
      <c r="C26" s="101">
        <v>0</v>
      </c>
      <c r="D26" s="102">
        <v>2</v>
      </c>
      <c r="E26" s="102">
        <v>0</v>
      </c>
      <c r="F26" s="102">
        <v>0</v>
      </c>
      <c r="G26" s="102">
        <v>0</v>
      </c>
      <c r="H26" s="102">
        <v>0</v>
      </c>
      <c r="I26" s="102">
        <v>0</v>
      </c>
      <c r="J26" s="102">
        <v>0</v>
      </c>
      <c r="K26" s="102">
        <v>0</v>
      </c>
      <c r="L26" s="102">
        <v>0</v>
      </c>
      <c r="M26" s="102">
        <v>0</v>
      </c>
      <c r="N26" s="102">
        <v>0</v>
      </c>
      <c r="O26" s="102">
        <v>0</v>
      </c>
      <c r="P26" s="102">
        <v>0</v>
      </c>
      <c r="Q26" s="102">
        <v>0</v>
      </c>
      <c r="R26" s="102">
        <v>1</v>
      </c>
      <c r="S26" s="5">
        <v>1</v>
      </c>
      <c r="T26" s="5">
        <v>1</v>
      </c>
      <c r="U26" s="14">
        <v>32</v>
      </c>
      <c r="V26" s="5">
        <v>1</v>
      </c>
      <c r="W26" s="5">
        <v>1</v>
      </c>
      <c r="X26" s="5">
        <v>0</v>
      </c>
      <c r="Y26" s="5">
        <v>0</v>
      </c>
      <c r="Z26" s="5">
        <v>0</v>
      </c>
      <c r="AA26" s="5">
        <v>1</v>
      </c>
    </row>
    <row r="27" spans="1:27" ht="16.2" x14ac:dyDescent="0.35">
      <c r="A27" s="103"/>
      <c r="B27" s="100" t="s">
        <v>38</v>
      </c>
      <c r="C27" s="101">
        <v>0</v>
      </c>
      <c r="D27" s="102">
        <v>0</v>
      </c>
      <c r="E27" s="102">
        <v>0</v>
      </c>
      <c r="F27" s="102">
        <v>0</v>
      </c>
      <c r="G27" s="102">
        <v>3</v>
      </c>
      <c r="H27" s="102">
        <v>0</v>
      </c>
      <c r="I27" s="102">
        <v>0</v>
      </c>
      <c r="J27" s="102">
        <v>0</v>
      </c>
      <c r="K27" s="102">
        <v>0</v>
      </c>
      <c r="L27" s="102">
        <v>0</v>
      </c>
      <c r="M27" s="102">
        <v>0</v>
      </c>
      <c r="N27" s="102">
        <v>0</v>
      </c>
      <c r="O27" s="102">
        <v>0</v>
      </c>
      <c r="P27" s="102">
        <v>0</v>
      </c>
      <c r="Q27" s="102">
        <v>0</v>
      </c>
      <c r="R27" s="102">
        <v>0</v>
      </c>
      <c r="S27" s="5">
        <v>3</v>
      </c>
      <c r="T27" s="5">
        <v>7</v>
      </c>
      <c r="U27" s="14">
        <v>33</v>
      </c>
      <c r="V27" s="5">
        <v>0</v>
      </c>
      <c r="W27" s="5">
        <v>1</v>
      </c>
      <c r="X27" s="5">
        <v>0</v>
      </c>
      <c r="Y27" s="5">
        <v>0</v>
      </c>
      <c r="Z27" s="5">
        <v>0</v>
      </c>
      <c r="AA27" s="5">
        <v>0</v>
      </c>
    </row>
    <row r="28" spans="1:27" ht="16.2" x14ac:dyDescent="0.35">
      <c r="A28" s="103"/>
      <c r="B28" s="100" t="s">
        <v>39</v>
      </c>
      <c r="C28" s="101">
        <v>0</v>
      </c>
      <c r="D28" s="102">
        <v>0</v>
      </c>
      <c r="E28" s="102">
        <v>0</v>
      </c>
      <c r="F28" s="102">
        <v>12</v>
      </c>
      <c r="G28" s="102">
        <v>0</v>
      </c>
      <c r="H28" s="102">
        <v>0</v>
      </c>
      <c r="I28" s="102">
        <v>0</v>
      </c>
      <c r="J28" s="102">
        <v>0</v>
      </c>
      <c r="K28" s="102">
        <v>0</v>
      </c>
      <c r="L28" s="102">
        <v>1</v>
      </c>
      <c r="M28" s="102">
        <v>0</v>
      </c>
      <c r="N28" s="102">
        <v>2</v>
      </c>
      <c r="O28" s="102">
        <v>0</v>
      </c>
      <c r="P28" s="102">
        <v>0</v>
      </c>
      <c r="Q28" s="102">
        <v>2</v>
      </c>
      <c r="R28" s="102">
        <v>0</v>
      </c>
      <c r="S28" s="5">
        <v>3</v>
      </c>
      <c r="T28" s="5">
        <v>10</v>
      </c>
      <c r="U28" s="14">
        <v>25</v>
      </c>
      <c r="V28" s="5">
        <v>0</v>
      </c>
      <c r="W28" s="5">
        <v>1</v>
      </c>
      <c r="X28" s="5">
        <v>0</v>
      </c>
      <c r="Y28" s="5">
        <v>0</v>
      </c>
      <c r="Z28" s="5">
        <v>0</v>
      </c>
      <c r="AA28" s="5">
        <v>0</v>
      </c>
    </row>
    <row r="29" spans="1:27" ht="16.2" x14ac:dyDescent="0.35">
      <c r="A29" s="103"/>
      <c r="B29" s="100" t="s">
        <v>40</v>
      </c>
      <c r="C29" s="101">
        <v>0</v>
      </c>
      <c r="D29" s="102">
        <v>0</v>
      </c>
      <c r="E29" s="102">
        <v>0</v>
      </c>
      <c r="F29" s="102">
        <v>0</v>
      </c>
      <c r="G29" s="102">
        <v>1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3</v>
      </c>
      <c r="S29" s="5">
        <v>1</v>
      </c>
      <c r="T29" s="5">
        <v>2</v>
      </c>
      <c r="U29" s="14">
        <v>29</v>
      </c>
      <c r="V29" s="5"/>
      <c r="W29" s="5"/>
      <c r="X29" s="5"/>
      <c r="Y29" s="5"/>
      <c r="Z29" s="5"/>
      <c r="AA29" s="5"/>
    </row>
    <row r="30" spans="1:27" ht="16.2" x14ac:dyDescent="0.35">
      <c r="A30" s="103"/>
      <c r="B30" s="100" t="s">
        <v>41</v>
      </c>
      <c r="C30" s="101">
        <v>0</v>
      </c>
      <c r="D30" s="102">
        <v>0</v>
      </c>
      <c r="E30" s="102">
        <v>18</v>
      </c>
      <c r="F30" s="102">
        <v>0</v>
      </c>
      <c r="G30" s="102">
        <v>2</v>
      </c>
      <c r="H30" s="102">
        <v>0</v>
      </c>
      <c r="I30" s="102">
        <v>3</v>
      </c>
      <c r="J30" s="102">
        <v>1</v>
      </c>
      <c r="K30" s="102">
        <v>3</v>
      </c>
      <c r="L30" s="102">
        <v>6</v>
      </c>
      <c r="M30" s="102">
        <v>2</v>
      </c>
      <c r="N30" s="102">
        <v>3</v>
      </c>
      <c r="O30" s="102">
        <v>2</v>
      </c>
      <c r="P30" s="102">
        <v>0</v>
      </c>
      <c r="Q30" s="102">
        <v>1</v>
      </c>
      <c r="R30" s="102">
        <v>14</v>
      </c>
      <c r="S30" s="5">
        <v>3</v>
      </c>
      <c r="T30" s="5">
        <v>2</v>
      </c>
      <c r="U30" s="14">
        <v>25.5</v>
      </c>
      <c r="V30" s="5">
        <v>0</v>
      </c>
      <c r="W30" s="5">
        <v>1</v>
      </c>
      <c r="X30" s="5">
        <v>1</v>
      </c>
      <c r="Y30" s="5">
        <v>0</v>
      </c>
      <c r="Z30" s="5">
        <v>0</v>
      </c>
      <c r="AA30" s="5">
        <v>0</v>
      </c>
    </row>
    <row r="31" spans="1:27" ht="16.2" x14ac:dyDescent="0.35">
      <c r="A31" s="103"/>
      <c r="B31" s="100" t="s">
        <v>42</v>
      </c>
      <c r="C31" s="101">
        <v>3</v>
      </c>
      <c r="D31" s="102">
        <v>0</v>
      </c>
      <c r="E31" s="102">
        <v>24</v>
      </c>
      <c r="F31" s="102">
        <v>6</v>
      </c>
      <c r="G31" s="102">
        <v>12</v>
      </c>
      <c r="H31" s="102">
        <v>5</v>
      </c>
      <c r="I31" s="102">
        <v>26</v>
      </c>
      <c r="J31" s="102">
        <v>1</v>
      </c>
      <c r="K31" s="102">
        <v>5</v>
      </c>
      <c r="L31" s="102">
        <v>27</v>
      </c>
      <c r="M31" s="102">
        <v>8</v>
      </c>
      <c r="N31" s="102">
        <v>54</v>
      </c>
      <c r="O31" s="102">
        <v>2</v>
      </c>
      <c r="P31" s="102">
        <v>1</v>
      </c>
      <c r="Q31" s="102">
        <v>2</v>
      </c>
      <c r="R31" s="102">
        <v>25</v>
      </c>
      <c r="S31" s="5">
        <v>3</v>
      </c>
      <c r="T31" s="5">
        <v>12</v>
      </c>
      <c r="U31" s="14">
        <v>29.25</v>
      </c>
      <c r="V31" s="5">
        <v>1</v>
      </c>
      <c r="W31" s="5">
        <v>1</v>
      </c>
      <c r="X31" s="5">
        <v>0</v>
      </c>
      <c r="Y31" s="5">
        <v>0</v>
      </c>
      <c r="Z31" s="5">
        <v>0</v>
      </c>
      <c r="AA31" s="5">
        <v>1</v>
      </c>
    </row>
    <row r="32" spans="1:27" ht="16.2" x14ac:dyDescent="0.35">
      <c r="A32" s="103"/>
      <c r="B32" s="100" t="s">
        <v>43</v>
      </c>
      <c r="C32" s="101">
        <v>0</v>
      </c>
      <c r="D32" s="102">
        <v>0</v>
      </c>
      <c r="E32" s="102">
        <v>0</v>
      </c>
      <c r="F32" s="102">
        <v>0</v>
      </c>
      <c r="G32" s="102">
        <v>7</v>
      </c>
      <c r="H32" s="102">
        <v>0</v>
      </c>
      <c r="I32" s="102">
        <v>0</v>
      </c>
      <c r="J32" s="102">
        <v>0</v>
      </c>
      <c r="K32" s="102">
        <v>0</v>
      </c>
      <c r="L32" s="102">
        <v>0</v>
      </c>
      <c r="M32" s="102">
        <v>0</v>
      </c>
      <c r="N32" s="102">
        <v>0</v>
      </c>
      <c r="O32" s="102">
        <v>0</v>
      </c>
      <c r="P32" s="102">
        <v>0</v>
      </c>
      <c r="Q32" s="102">
        <v>0</v>
      </c>
      <c r="R32" s="102">
        <v>21</v>
      </c>
      <c r="S32" s="5">
        <v>1</v>
      </c>
      <c r="T32" s="5">
        <v>1</v>
      </c>
      <c r="U32" s="14">
        <v>30</v>
      </c>
      <c r="V32" s="5">
        <v>0</v>
      </c>
      <c r="W32" s="5">
        <v>1</v>
      </c>
      <c r="X32" s="5">
        <v>0</v>
      </c>
      <c r="Y32" s="5">
        <v>1</v>
      </c>
      <c r="Z32" s="5">
        <v>1</v>
      </c>
      <c r="AA32" s="5">
        <v>0</v>
      </c>
    </row>
    <row r="33" spans="1:27" s="60" customFormat="1" ht="16.2" x14ac:dyDescent="0.35">
      <c r="A33" s="104"/>
      <c r="B33" s="105" t="s">
        <v>44</v>
      </c>
      <c r="C33" s="106">
        <v>0</v>
      </c>
      <c r="D33" s="97">
        <v>3</v>
      </c>
      <c r="E33" s="97">
        <v>0</v>
      </c>
      <c r="F33" s="97">
        <v>0</v>
      </c>
      <c r="G33" s="97">
        <v>0</v>
      </c>
      <c r="H33" s="97">
        <v>0</v>
      </c>
      <c r="I33" s="97">
        <v>0</v>
      </c>
      <c r="J33" s="97">
        <v>0</v>
      </c>
      <c r="K33" s="97">
        <v>0</v>
      </c>
      <c r="L33" s="97">
        <v>0</v>
      </c>
      <c r="M33" s="97">
        <v>0</v>
      </c>
      <c r="N33" s="97">
        <v>0</v>
      </c>
      <c r="O33" s="97">
        <v>0</v>
      </c>
      <c r="P33" s="97">
        <v>0</v>
      </c>
      <c r="Q33" s="97">
        <v>0</v>
      </c>
      <c r="R33" s="97">
        <v>10</v>
      </c>
      <c r="S33" s="87">
        <v>1</v>
      </c>
      <c r="T33" s="87">
        <v>1</v>
      </c>
      <c r="U33" s="88">
        <v>34</v>
      </c>
      <c r="V33" s="87">
        <v>0</v>
      </c>
      <c r="W33" s="87">
        <v>1</v>
      </c>
      <c r="X33" s="87">
        <v>0</v>
      </c>
      <c r="Y33" s="87">
        <v>0</v>
      </c>
      <c r="Z33" s="87">
        <v>0</v>
      </c>
      <c r="AA33" s="87">
        <v>0</v>
      </c>
    </row>
    <row r="34" spans="1:27" ht="16.2" customHeight="1" x14ac:dyDescent="0.35">
      <c r="A34" s="99" t="s">
        <v>282</v>
      </c>
      <c r="B34" s="100" t="s">
        <v>45</v>
      </c>
      <c r="C34" s="101">
        <v>0</v>
      </c>
      <c r="D34" s="102">
        <v>0</v>
      </c>
      <c r="E34" s="102">
        <v>0</v>
      </c>
      <c r="F34" s="102">
        <v>0</v>
      </c>
      <c r="G34" s="102">
        <v>0</v>
      </c>
      <c r="H34" s="102">
        <v>0</v>
      </c>
      <c r="I34" s="102">
        <v>0</v>
      </c>
      <c r="J34" s="102">
        <v>0</v>
      </c>
      <c r="K34" s="102">
        <v>0</v>
      </c>
      <c r="L34" s="102">
        <v>0</v>
      </c>
      <c r="M34" s="102">
        <v>0</v>
      </c>
      <c r="N34" s="102">
        <v>0</v>
      </c>
      <c r="O34" s="102">
        <v>0</v>
      </c>
      <c r="P34" s="102">
        <v>0</v>
      </c>
      <c r="Q34" s="102">
        <v>0</v>
      </c>
      <c r="R34" s="102">
        <v>2</v>
      </c>
      <c r="S34" s="5">
        <v>2</v>
      </c>
      <c r="T34" s="5">
        <v>1</v>
      </c>
      <c r="U34" s="14">
        <v>72</v>
      </c>
      <c r="V34" s="5">
        <v>1</v>
      </c>
      <c r="W34" s="5">
        <v>1</v>
      </c>
      <c r="X34" s="5">
        <v>0</v>
      </c>
      <c r="Y34" s="5">
        <v>0</v>
      </c>
      <c r="Z34" s="5">
        <v>0</v>
      </c>
      <c r="AA34" s="5">
        <v>0</v>
      </c>
    </row>
    <row r="35" spans="1:27" ht="16.2" x14ac:dyDescent="0.35">
      <c r="A35" s="103"/>
      <c r="B35" s="100" t="s">
        <v>46</v>
      </c>
      <c r="C35" s="101">
        <v>1</v>
      </c>
      <c r="D35" s="102">
        <v>1</v>
      </c>
      <c r="E35" s="102">
        <v>7</v>
      </c>
      <c r="F35" s="102">
        <v>0</v>
      </c>
      <c r="G35" s="102">
        <v>1</v>
      </c>
      <c r="H35" s="102">
        <v>5</v>
      </c>
      <c r="I35" s="102">
        <v>0</v>
      </c>
      <c r="J35" s="102">
        <v>0</v>
      </c>
      <c r="K35" s="102">
        <v>0</v>
      </c>
      <c r="L35" s="102">
        <v>0</v>
      </c>
      <c r="M35" s="102">
        <v>18</v>
      </c>
      <c r="N35" s="102">
        <v>0</v>
      </c>
      <c r="O35" s="102">
        <v>1</v>
      </c>
      <c r="P35" s="102">
        <v>0</v>
      </c>
      <c r="Q35" s="102">
        <v>3</v>
      </c>
      <c r="R35" s="102">
        <v>7</v>
      </c>
      <c r="S35" s="5">
        <v>1</v>
      </c>
      <c r="T35" s="5">
        <v>1</v>
      </c>
      <c r="U35" s="14">
        <v>60.75</v>
      </c>
      <c r="V35" s="5">
        <v>0</v>
      </c>
      <c r="W35" s="5">
        <v>0</v>
      </c>
      <c r="X35" s="5">
        <v>1</v>
      </c>
      <c r="Y35" s="5">
        <v>0</v>
      </c>
      <c r="Z35" s="5">
        <v>0</v>
      </c>
      <c r="AA35" s="5">
        <v>0</v>
      </c>
    </row>
    <row r="36" spans="1:27" ht="16.2" x14ac:dyDescent="0.35">
      <c r="A36" s="103"/>
      <c r="B36" s="100" t="s">
        <v>47</v>
      </c>
      <c r="C36" s="101">
        <v>0</v>
      </c>
      <c r="D36" s="102">
        <v>0</v>
      </c>
      <c r="E36" s="102">
        <v>1</v>
      </c>
      <c r="F36" s="102">
        <v>51</v>
      </c>
      <c r="G36" s="102">
        <v>16</v>
      </c>
      <c r="H36" s="102">
        <v>25</v>
      </c>
      <c r="I36" s="102">
        <v>3</v>
      </c>
      <c r="J36" s="102">
        <v>0</v>
      </c>
      <c r="K36" s="102">
        <v>3</v>
      </c>
      <c r="L36" s="102">
        <v>2</v>
      </c>
      <c r="M36" s="102">
        <v>1</v>
      </c>
      <c r="N36" s="102">
        <v>0</v>
      </c>
      <c r="O36" s="102">
        <v>0</v>
      </c>
      <c r="P36" s="102">
        <v>0</v>
      </c>
      <c r="Q36" s="102">
        <v>0</v>
      </c>
      <c r="R36" s="102">
        <v>4</v>
      </c>
      <c r="S36" s="5">
        <v>1</v>
      </c>
      <c r="T36" s="5">
        <v>3</v>
      </c>
      <c r="U36" s="14">
        <v>73</v>
      </c>
      <c r="V36" s="5">
        <v>1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</row>
    <row r="37" spans="1:27" ht="16.2" x14ac:dyDescent="0.35">
      <c r="A37" s="103"/>
      <c r="B37" s="100" t="s">
        <v>48</v>
      </c>
      <c r="C37" s="101">
        <v>2</v>
      </c>
      <c r="D37" s="102">
        <v>0</v>
      </c>
      <c r="E37" s="102">
        <v>0</v>
      </c>
      <c r="F37" s="102">
        <v>0</v>
      </c>
      <c r="G37" s="102">
        <v>0</v>
      </c>
      <c r="H37" s="102">
        <v>4</v>
      </c>
      <c r="I37" s="102">
        <v>0</v>
      </c>
      <c r="J37" s="102">
        <v>0</v>
      </c>
      <c r="K37" s="102">
        <v>0</v>
      </c>
      <c r="L37" s="102">
        <v>0</v>
      </c>
      <c r="M37" s="102">
        <v>0</v>
      </c>
      <c r="N37" s="102">
        <v>0</v>
      </c>
      <c r="O37" s="102">
        <v>0</v>
      </c>
      <c r="P37" s="102">
        <v>0</v>
      </c>
      <c r="Q37" s="102">
        <v>1</v>
      </c>
      <c r="R37" s="102">
        <v>0</v>
      </c>
      <c r="S37" s="5">
        <v>2</v>
      </c>
      <c r="T37" s="5">
        <v>6</v>
      </c>
      <c r="U37" s="14">
        <v>79.5</v>
      </c>
      <c r="V37" s="5">
        <v>0</v>
      </c>
      <c r="W37" s="5">
        <v>0</v>
      </c>
      <c r="X37" s="5">
        <v>0</v>
      </c>
      <c r="Y37" s="5">
        <v>1</v>
      </c>
      <c r="Z37" s="5">
        <v>1</v>
      </c>
      <c r="AA37" s="5">
        <v>0</v>
      </c>
    </row>
    <row r="38" spans="1:27" ht="16.2" x14ac:dyDescent="0.35">
      <c r="A38" s="103"/>
      <c r="B38" s="100" t="s">
        <v>49</v>
      </c>
      <c r="C38" s="101">
        <v>1</v>
      </c>
      <c r="D38" s="102">
        <v>1</v>
      </c>
      <c r="E38" s="102">
        <v>1</v>
      </c>
      <c r="F38" s="102">
        <v>0</v>
      </c>
      <c r="G38" s="102">
        <v>0</v>
      </c>
      <c r="H38" s="102">
        <v>0</v>
      </c>
      <c r="I38" s="102">
        <v>2</v>
      </c>
      <c r="J38" s="102">
        <v>0</v>
      </c>
      <c r="K38" s="102">
        <v>0</v>
      </c>
      <c r="L38" s="102">
        <v>0</v>
      </c>
      <c r="M38" s="102">
        <v>0</v>
      </c>
      <c r="N38" s="102">
        <v>0</v>
      </c>
      <c r="O38" s="102">
        <v>0</v>
      </c>
      <c r="P38" s="102">
        <v>0</v>
      </c>
      <c r="Q38" s="102">
        <v>0</v>
      </c>
      <c r="R38" s="102">
        <v>0</v>
      </c>
      <c r="S38" s="5">
        <v>3</v>
      </c>
      <c r="T38" s="5">
        <v>6</v>
      </c>
      <c r="U38" s="14">
        <v>26.75</v>
      </c>
      <c r="V38" s="5">
        <v>0</v>
      </c>
      <c r="W38" s="5">
        <v>0</v>
      </c>
      <c r="X38" s="5">
        <v>1</v>
      </c>
      <c r="Y38" s="5">
        <v>0</v>
      </c>
      <c r="Z38" s="5">
        <v>0</v>
      </c>
      <c r="AA38" s="5">
        <v>0</v>
      </c>
    </row>
    <row r="39" spans="1:27" ht="16.2" x14ac:dyDescent="0.35">
      <c r="A39" s="103"/>
      <c r="B39" s="100" t="s">
        <v>50</v>
      </c>
      <c r="C39" s="101">
        <v>0</v>
      </c>
      <c r="D39" s="102">
        <v>1</v>
      </c>
      <c r="E39" s="102">
        <v>0</v>
      </c>
      <c r="F39" s="102">
        <v>0</v>
      </c>
      <c r="G39" s="102">
        <v>11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5</v>
      </c>
      <c r="S39" s="5">
        <v>1</v>
      </c>
      <c r="T39" s="5">
        <v>2</v>
      </c>
      <c r="U39" s="14">
        <v>64.5</v>
      </c>
      <c r="V39" s="5">
        <v>1</v>
      </c>
      <c r="W39" s="5">
        <v>1</v>
      </c>
      <c r="X39" s="5">
        <v>0</v>
      </c>
      <c r="Y39" s="5">
        <v>0</v>
      </c>
      <c r="Z39" s="5">
        <v>0</v>
      </c>
      <c r="AA39" s="5">
        <v>0</v>
      </c>
    </row>
    <row r="40" spans="1:27" ht="16.2" x14ac:dyDescent="0.35">
      <c r="A40" s="103"/>
      <c r="B40" s="100" t="s">
        <v>51</v>
      </c>
      <c r="C40" s="101">
        <v>0</v>
      </c>
      <c r="D40" s="102">
        <v>5</v>
      </c>
      <c r="E40" s="102">
        <v>0</v>
      </c>
      <c r="F40" s="102">
        <v>2</v>
      </c>
      <c r="G40" s="102">
        <v>34</v>
      </c>
      <c r="H40" s="102">
        <v>0</v>
      </c>
      <c r="I40" s="102">
        <v>0</v>
      </c>
      <c r="J40" s="102">
        <v>0</v>
      </c>
      <c r="K40" s="102">
        <v>0</v>
      </c>
      <c r="L40" s="102">
        <v>0</v>
      </c>
      <c r="M40" s="102">
        <v>0</v>
      </c>
      <c r="N40" s="102">
        <v>0</v>
      </c>
      <c r="O40" s="102">
        <v>0</v>
      </c>
      <c r="P40" s="102">
        <v>0</v>
      </c>
      <c r="Q40" s="102">
        <v>0</v>
      </c>
      <c r="R40" s="102">
        <v>20</v>
      </c>
      <c r="S40" s="5">
        <v>1</v>
      </c>
      <c r="T40" s="5">
        <v>1</v>
      </c>
      <c r="U40" s="14">
        <v>53</v>
      </c>
      <c r="V40" s="5">
        <v>1</v>
      </c>
      <c r="W40" s="5">
        <v>1</v>
      </c>
      <c r="X40" s="5">
        <v>0</v>
      </c>
      <c r="Y40" s="5">
        <v>0</v>
      </c>
      <c r="Z40" s="5">
        <v>0</v>
      </c>
      <c r="AA40" s="5">
        <v>0</v>
      </c>
    </row>
    <row r="41" spans="1:27" ht="16.2" x14ac:dyDescent="0.35">
      <c r="A41" s="103"/>
      <c r="B41" s="100" t="s">
        <v>52</v>
      </c>
      <c r="C41" s="101">
        <v>0</v>
      </c>
      <c r="D41" s="102">
        <v>9</v>
      </c>
      <c r="E41" s="102">
        <v>0</v>
      </c>
      <c r="F41" s="102">
        <v>0</v>
      </c>
      <c r="G41" s="102">
        <v>40</v>
      </c>
      <c r="H41" s="102">
        <v>0</v>
      </c>
      <c r="I41" s="102">
        <v>0</v>
      </c>
      <c r="J41" s="102">
        <v>0</v>
      </c>
      <c r="K41" s="102">
        <v>0</v>
      </c>
      <c r="L41" s="102">
        <v>0</v>
      </c>
      <c r="M41" s="102">
        <v>0</v>
      </c>
      <c r="N41" s="102">
        <v>0</v>
      </c>
      <c r="O41" s="102">
        <v>0</v>
      </c>
      <c r="P41" s="102">
        <v>0</v>
      </c>
      <c r="Q41" s="102">
        <v>0</v>
      </c>
      <c r="R41" s="102">
        <v>14</v>
      </c>
      <c r="S41" s="5">
        <v>1</v>
      </c>
      <c r="T41" s="5">
        <v>1</v>
      </c>
      <c r="U41" s="14">
        <v>60</v>
      </c>
      <c r="V41" s="5">
        <v>0</v>
      </c>
      <c r="W41" s="5">
        <v>0</v>
      </c>
      <c r="X41" s="5">
        <v>1</v>
      </c>
      <c r="Y41" s="5">
        <v>0</v>
      </c>
      <c r="Z41" s="5">
        <v>0</v>
      </c>
      <c r="AA41" s="5">
        <v>0</v>
      </c>
    </row>
    <row r="42" spans="1:27" ht="16.2" x14ac:dyDescent="0.35">
      <c r="A42" s="103"/>
      <c r="B42" s="100" t="s">
        <v>53</v>
      </c>
      <c r="C42" s="101">
        <v>1</v>
      </c>
      <c r="D42" s="102">
        <v>0</v>
      </c>
      <c r="E42" s="102">
        <v>0</v>
      </c>
      <c r="F42" s="102">
        <v>3</v>
      </c>
      <c r="G42" s="102">
        <v>0</v>
      </c>
      <c r="H42" s="102">
        <v>0</v>
      </c>
      <c r="I42" s="102">
        <v>0</v>
      </c>
      <c r="J42" s="102">
        <v>0</v>
      </c>
      <c r="K42" s="102">
        <v>0</v>
      </c>
      <c r="L42" s="102">
        <v>0</v>
      </c>
      <c r="M42" s="102">
        <v>0</v>
      </c>
      <c r="N42" s="102">
        <v>0</v>
      </c>
      <c r="O42" s="102">
        <v>0</v>
      </c>
      <c r="P42" s="102">
        <v>0</v>
      </c>
      <c r="Q42" s="102">
        <v>0</v>
      </c>
      <c r="R42" s="102">
        <v>0</v>
      </c>
      <c r="S42" s="5">
        <v>2</v>
      </c>
      <c r="T42" s="5">
        <v>12</v>
      </c>
      <c r="U42" s="14">
        <v>45.75</v>
      </c>
      <c r="V42" s="5">
        <v>1</v>
      </c>
      <c r="W42" s="5">
        <v>1</v>
      </c>
      <c r="X42" s="5">
        <v>1</v>
      </c>
      <c r="Y42" s="5">
        <v>0</v>
      </c>
      <c r="Z42" s="5">
        <v>0</v>
      </c>
      <c r="AA42" s="5">
        <v>0</v>
      </c>
    </row>
    <row r="43" spans="1:27" ht="16.2" x14ac:dyDescent="0.35">
      <c r="A43" s="103"/>
      <c r="B43" s="100" t="s">
        <v>54</v>
      </c>
      <c r="C43" s="101">
        <v>0</v>
      </c>
      <c r="D43" s="102">
        <v>1</v>
      </c>
      <c r="E43" s="102">
        <v>5</v>
      </c>
      <c r="F43" s="102">
        <v>4</v>
      </c>
      <c r="G43" s="102">
        <v>2</v>
      </c>
      <c r="H43" s="102">
        <v>0</v>
      </c>
      <c r="I43" s="102">
        <v>0</v>
      </c>
      <c r="J43" s="102">
        <v>0</v>
      </c>
      <c r="K43" s="102">
        <v>0</v>
      </c>
      <c r="L43" s="102">
        <v>0</v>
      </c>
      <c r="M43" s="102">
        <v>0</v>
      </c>
      <c r="N43" s="102">
        <v>0</v>
      </c>
      <c r="O43" s="102">
        <v>0</v>
      </c>
      <c r="P43" s="102">
        <v>0</v>
      </c>
      <c r="Q43" s="102">
        <v>1</v>
      </c>
      <c r="R43" s="102">
        <v>2</v>
      </c>
      <c r="S43" s="5">
        <v>3</v>
      </c>
      <c r="T43" s="5">
        <v>7</v>
      </c>
      <c r="U43" s="14">
        <v>42.5</v>
      </c>
      <c r="V43" s="5">
        <v>0</v>
      </c>
      <c r="W43" s="5">
        <v>1</v>
      </c>
      <c r="X43" s="5">
        <v>1</v>
      </c>
      <c r="Y43" s="5">
        <v>0</v>
      </c>
      <c r="Z43" s="5">
        <v>0</v>
      </c>
      <c r="AA43" s="5">
        <v>0</v>
      </c>
    </row>
    <row r="44" spans="1:27" ht="16.2" x14ac:dyDescent="0.35">
      <c r="A44" s="103"/>
      <c r="B44" s="100" t="s">
        <v>55</v>
      </c>
      <c r="C44" s="101">
        <v>3</v>
      </c>
      <c r="D44" s="102">
        <v>0</v>
      </c>
      <c r="E44" s="102">
        <v>0</v>
      </c>
      <c r="F44" s="102">
        <v>4</v>
      </c>
      <c r="G44" s="102">
        <v>6</v>
      </c>
      <c r="H44" s="102">
        <v>2</v>
      </c>
      <c r="I44" s="102">
        <v>0</v>
      </c>
      <c r="J44" s="102">
        <v>0</v>
      </c>
      <c r="K44" s="102">
        <v>0</v>
      </c>
      <c r="L44" s="102">
        <v>0</v>
      </c>
      <c r="M44" s="102">
        <v>0</v>
      </c>
      <c r="N44" s="102">
        <v>1</v>
      </c>
      <c r="O44" s="102">
        <v>0</v>
      </c>
      <c r="P44" s="102">
        <v>2</v>
      </c>
      <c r="Q44" s="102">
        <v>1</v>
      </c>
      <c r="R44" s="102">
        <v>14</v>
      </c>
      <c r="S44" s="5">
        <v>2</v>
      </c>
      <c r="T44" s="5">
        <v>2</v>
      </c>
      <c r="U44" s="14">
        <v>44.5</v>
      </c>
      <c r="V44" s="5">
        <v>0</v>
      </c>
      <c r="W44" s="5">
        <v>0</v>
      </c>
      <c r="X44" s="5">
        <v>0</v>
      </c>
      <c r="Y44" s="5">
        <v>0</v>
      </c>
      <c r="Z44" s="5">
        <v>1</v>
      </c>
      <c r="AA44" s="5">
        <v>0</v>
      </c>
    </row>
    <row r="45" spans="1:27" ht="16.2" x14ac:dyDescent="0.35">
      <c r="A45" s="103"/>
      <c r="B45" s="100" t="s">
        <v>56</v>
      </c>
      <c r="C45" s="101">
        <v>1</v>
      </c>
      <c r="D45" s="102">
        <v>5</v>
      </c>
      <c r="E45" s="102">
        <v>0</v>
      </c>
      <c r="F45" s="102">
        <v>2</v>
      </c>
      <c r="G45" s="102">
        <v>2</v>
      </c>
      <c r="H45" s="102">
        <v>0</v>
      </c>
      <c r="I45" s="102">
        <v>0</v>
      </c>
      <c r="J45" s="102">
        <v>0</v>
      </c>
      <c r="K45" s="102">
        <v>2</v>
      </c>
      <c r="L45" s="102">
        <v>0</v>
      </c>
      <c r="M45" s="102">
        <v>0</v>
      </c>
      <c r="N45" s="102">
        <v>1</v>
      </c>
      <c r="O45" s="102">
        <v>0</v>
      </c>
      <c r="P45" s="102">
        <v>1</v>
      </c>
      <c r="Q45" s="102">
        <v>1</v>
      </c>
      <c r="R45" s="102">
        <v>25</v>
      </c>
      <c r="S45" s="5">
        <v>3</v>
      </c>
      <c r="T45" s="5">
        <v>1</v>
      </c>
      <c r="U45" s="14">
        <v>50</v>
      </c>
      <c r="V45" s="5">
        <v>0</v>
      </c>
      <c r="W45" s="5">
        <v>0</v>
      </c>
      <c r="X45" s="5">
        <v>0</v>
      </c>
      <c r="Y45" s="5">
        <v>1</v>
      </c>
      <c r="Z45" s="5">
        <v>0</v>
      </c>
      <c r="AA45" s="5">
        <v>0</v>
      </c>
    </row>
    <row r="46" spans="1:27" ht="16.2" x14ac:dyDescent="0.35">
      <c r="A46" s="103"/>
      <c r="B46" s="100" t="s">
        <v>57</v>
      </c>
      <c r="C46" s="101">
        <v>47</v>
      </c>
      <c r="D46" s="102">
        <v>24</v>
      </c>
      <c r="E46" s="102">
        <v>238</v>
      </c>
      <c r="F46" s="102">
        <v>50</v>
      </c>
      <c r="G46" s="102">
        <v>35</v>
      </c>
      <c r="H46" s="102">
        <v>93</v>
      </c>
      <c r="I46" s="102">
        <v>203</v>
      </c>
      <c r="J46" s="102">
        <v>1</v>
      </c>
      <c r="K46" s="102">
        <v>9</v>
      </c>
      <c r="L46" s="102">
        <v>57</v>
      </c>
      <c r="M46" s="102">
        <v>29</v>
      </c>
      <c r="N46" s="102">
        <v>6</v>
      </c>
      <c r="O46" s="102">
        <v>11</v>
      </c>
      <c r="P46" s="102">
        <v>12</v>
      </c>
      <c r="Q46" s="102">
        <v>13</v>
      </c>
      <c r="R46" s="102">
        <v>80</v>
      </c>
      <c r="S46" s="5">
        <v>1</v>
      </c>
      <c r="T46" s="5">
        <v>10</v>
      </c>
      <c r="U46" s="14">
        <v>40.75</v>
      </c>
      <c r="V46" s="5">
        <v>0</v>
      </c>
      <c r="W46" s="5">
        <v>1</v>
      </c>
      <c r="X46" s="5">
        <v>0</v>
      </c>
      <c r="Y46" s="5">
        <v>0</v>
      </c>
      <c r="Z46" s="5">
        <v>0</v>
      </c>
      <c r="AA46" s="5">
        <v>0</v>
      </c>
    </row>
    <row r="47" spans="1:27" ht="16.2" x14ac:dyDescent="0.35">
      <c r="A47" s="103"/>
      <c r="B47" s="100" t="s">
        <v>58</v>
      </c>
      <c r="C47" s="101">
        <v>0</v>
      </c>
      <c r="D47" s="102">
        <v>0</v>
      </c>
      <c r="E47" s="102">
        <v>0</v>
      </c>
      <c r="F47" s="102">
        <v>36</v>
      </c>
      <c r="G47" s="102">
        <v>267</v>
      </c>
      <c r="H47" s="102">
        <v>0</v>
      </c>
      <c r="I47" s="102">
        <v>0</v>
      </c>
      <c r="J47" s="102">
        <v>0</v>
      </c>
      <c r="K47" s="102">
        <v>0</v>
      </c>
      <c r="L47" s="102">
        <v>0</v>
      </c>
      <c r="M47" s="102">
        <v>0</v>
      </c>
      <c r="N47" s="102">
        <v>0</v>
      </c>
      <c r="O47" s="102">
        <v>0</v>
      </c>
      <c r="P47" s="102">
        <v>0</v>
      </c>
      <c r="Q47" s="102">
        <v>0</v>
      </c>
      <c r="R47" s="102">
        <v>52</v>
      </c>
      <c r="S47" s="5">
        <v>1</v>
      </c>
      <c r="T47" s="5">
        <v>1</v>
      </c>
      <c r="U47" s="14">
        <v>55</v>
      </c>
      <c r="V47" s="5">
        <v>0</v>
      </c>
      <c r="W47" s="5">
        <v>1</v>
      </c>
      <c r="X47" s="5">
        <v>0</v>
      </c>
      <c r="Y47" s="5">
        <v>0</v>
      </c>
      <c r="Z47" s="5">
        <v>0</v>
      </c>
      <c r="AA47" s="5">
        <v>0</v>
      </c>
    </row>
    <row r="48" spans="1:27" ht="16.2" x14ac:dyDescent="0.35">
      <c r="A48" s="103"/>
      <c r="B48" s="100" t="s">
        <v>59</v>
      </c>
      <c r="C48" s="101">
        <v>0</v>
      </c>
      <c r="D48" s="102">
        <v>0</v>
      </c>
      <c r="E48" s="102">
        <v>0</v>
      </c>
      <c r="F48" s="102">
        <v>1</v>
      </c>
      <c r="G48" s="102">
        <v>0</v>
      </c>
      <c r="H48" s="102">
        <v>0</v>
      </c>
      <c r="I48" s="102">
        <v>0</v>
      </c>
      <c r="J48" s="102">
        <v>0</v>
      </c>
      <c r="K48" s="102">
        <v>0</v>
      </c>
      <c r="L48" s="102">
        <v>0</v>
      </c>
      <c r="M48" s="102">
        <v>0</v>
      </c>
      <c r="N48" s="102">
        <v>0</v>
      </c>
      <c r="O48" s="102">
        <v>0</v>
      </c>
      <c r="P48" s="102">
        <v>0</v>
      </c>
      <c r="Q48" s="102">
        <v>0</v>
      </c>
      <c r="R48" s="102">
        <v>11</v>
      </c>
      <c r="S48" s="5">
        <v>2</v>
      </c>
      <c r="T48" s="5">
        <v>4</v>
      </c>
      <c r="U48" s="14">
        <v>35.75</v>
      </c>
      <c r="V48" s="5">
        <v>0</v>
      </c>
      <c r="W48" s="5">
        <v>0</v>
      </c>
      <c r="X48" s="5">
        <v>1</v>
      </c>
      <c r="Y48" s="5">
        <v>0</v>
      </c>
      <c r="Z48" s="5">
        <v>0</v>
      </c>
      <c r="AA48" s="5">
        <v>0</v>
      </c>
    </row>
    <row r="49" spans="1:27" ht="16.2" x14ac:dyDescent="0.35">
      <c r="A49" s="103"/>
      <c r="B49" s="100" t="s">
        <v>60</v>
      </c>
      <c r="C49" s="101">
        <v>5</v>
      </c>
      <c r="D49" s="102">
        <v>0</v>
      </c>
      <c r="E49" s="102">
        <v>4</v>
      </c>
      <c r="F49" s="102">
        <v>0</v>
      </c>
      <c r="G49" s="102">
        <v>6</v>
      </c>
      <c r="H49" s="102">
        <v>9</v>
      </c>
      <c r="I49" s="102">
        <v>0</v>
      </c>
      <c r="J49" s="102">
        <v>0</v>
      </c>
      <c r="K49" s="102">
        <v>0</v>
      </c>
      <c r="L49" s="102">
        <v>6</v>
      </c>
      <c r="M49" s="102">
        <v>2</v>
      </c>
      <c r="N49" s="102">
        <v>0</v>
      </c>
      <c r="O49" s="102">
        <v>0</v>
      </c>
      <c r="P49" s="102">
        <v>0</v>
      </c>
      <c r="Q49" s="102">
        <v>0</v>
      </c>
      <c r="R49" s="102">
        <v>13</v>
      </c>
      <c r="S49" s="5">
        <v>3</v>
      </c>
      <c r="T49" s="5">
        <v>9</v>
      </c>
      <c r="U49" s="14">
        <v>37</v>
      </c>
      <c r="V49" s="5">
        <v>0</v>
      </c>
      <c r="W49" s="5">
        <v>1</v>
      </c>
      <c r="X49" s="5">
        <v>0</v>
      </c>
      <c r="Y49" s="5">
        <v>0</v>
      </c>
      <c r="Z49" s="5">
        <v>0</v>
      </c>
      <c r="AA49" s="5">
        <v>0</v>
      </c>
    </row>
    <row r="50" spans="1:27" ht="16.2" x14ac:dyDescent="0.35">
      <c r="A50" s="103"/>
      <c r="B50" s="100" t="s">
        <v>61</v>
      </c>
      <c r="C50" s="101">
        <v>2</v>
      </c>
      <c r="D50" s="102">
        <v>0</v>
      </c>
      <c r="E50" s="102">
        <v>0</v>
      </c>
      <c r="F50" s="102">
        <v>0</v>
      </c>
      <c r="G50" s="102">
        <v>2</v>
      </c>
      <c r="H50" s="102">
        <v>0</v>
      </c>
      <c r="I50" s="102">
        <v>0</v>
      </c>
      <c r="J50" s="102">
        <v>0</v>
      </c>
      <c r="K50" s="102">
        <v>0</v>
      </c>
      <c r="L50" s="102">
        <v>0</v>
      </c>
      <c r="M50" s="102">
        <v>0</v>
      </c>
      <c r="N50" s="102">
        <v>0</v>
      </c>
      <c r="O50" s="102">
        <v>0</v>
      </c>
      <c r="P50" s="102">
        <v>0</v>
      </c>
      <c r="Q50" s="102">
        <v>0</v>
      </c>
      <c r="R50" s="102">
        <v>4</v>
      </c>
      <c r="S50" s="5">
        <v>1</v>
      </c>
      <c r="T50" s="5">
        <v>9</v>
      </c>
      <c r="U50" s="14">
        <v>62</v>
      </c>
      <c r="V50" s="5">
        <v>0</v>
      </c>
      <c r="W50" s="5">
        <v>0</v>
      </c>
      <c r="X50" s="5">
        <v>0</v>
      </c>
      <c r="Y50" s="5">
        <v>1</v>
      </c>
      <c r="Z50" s="5">
        <v>0</v>
      </c>
      <c r="AA50" s="5">
        <v>0</v>
      </c>
    </row>
    <row r="51" spans="1:27" ht="16.2" x14ac:dyDescent="0.35">
      <c r="A51" s="103"/>
      <c r="B51" s="100" t="s">
        <v>62</v>
      </c>
      <c r="C51" s="101">
        <v>0</v>
      </c>
      <c r="D51" s="102">
        <v>2</v>
      </c>
      <c r="E51" s="102">
        <v>2</v>
      </c>
      <c r="F51" s="102">
        <v>0</v>
      </c>
      <c r="G51" s="102">
        <v>0</v>
      </c>
      <c r="H51" s="102">
        <v>0</v>
      </c>
      <c r="I51" s="102">
        <v>0</v>
      </c>
      <c r="J51" s="102">
        <v>0</v>
      </c>
      <c r="K51" s="102">
        <v>0</v>
      </c>
      <c r="L51" s="102">
        <v>1</v>
      </c>
      <c r="M51" s="102">
        <v>4</v>
      </c>
      <c r="N51" s="102">
        <v>0</v>
      </c>
      <c r="O51" s="102">
        <v>0</v>
      </c>
      <c r="P51" s="102">
        <v>1</v>
      </c>
      <c r="Q51" s="102">
        <v>0</v>
      </c>
      <c r="R51" s="102">
        <v>0</v>
      </c>
      <c r="S51" s="5">
        <v>3</v>
      </c>
      <c r="T51" s="5">
        <v>7</v>
      </c>
      <c r="U51" s="14">
        <v>38</v>
      </c>
      <c r="V51" s="5">
        <v>0</v>
      </c>
      <c r="W51" s="5">
        <v>1</v>
      </c>
      <c r="X51" s="5">
        <v>1</v>
      </c>
      <c r="Y51" s="5">
        <v>0</v>
      </c>
      <c r="Z51" s="5">
        <v>0</v>
      </c>
      <c r="AA51" s="5">
        <v>0</v>
      </c>
    </row>
    <row r="52" spans="1:27" ht="16.2" x14ac:dyDescent="0.35">
      <c r="A52" s="103"/>
      <c r="B52" s="100" t="s">
        <v>63</v>
      </c>
      <c r="C52" s="101">
        <v>1</v>
      </c>
      <c r="D52" s="102">
        <v>0</v>
      </c>
      <c r="E52" s="102">
        <v>0</v>
      </c>
      <c r="F52" s="102">
        <v>0</v>
      </c>
      <c r="G52" s="102">
        <v>0</v>
      </c>
      <c r="H52" s="102">
        <v>0</v>
      </c>
      <c r="I52" s="102">
        <v>0</v>
      </c>
      <c r="J52" s="102">
        <v>0</v>
      </c>
      <c r="K52" s="102">
        <v>0</v>
      </c>
      <c r="L52" s="102">
        <v>0</v>
      </c>
      <c r="M52" s="102">
        <v>0</v>
      </c>
      <c r="N52" s="102">
        <v>0</v>
      </c>
      <c r="O52" s="102">
        <v>0</v>
      </c>
      <c r="P52" s="102">
        <v>0</v>
      </c>
      <c r="Q52" s="102">
        <v>0</v>
      </c>
      <c r="R52" s="102">
        <v>7</v>
      </c>
      <c r="S52" s="5">
        <v>3</v>
      </c>
      <c r="T52" s="5">
        <v>2</v>
      </c>
      <c r="U52" s="14">
        <v>45</v>
      </c>
      <c r="V52" s="5"/>
      <c r="W52" s="5"/>
      <c r="X52" s="5"/>
      <c r="Y52" s="5"/>
      <c r="Z52" s="5"/>
      <c r="AA52" s="5"/>
    </row>
    <row r="53" spans="1:27" ht="16.2" x14ac:dyDescent="0.35">
      <c r="A53" s="103"/>
      <c r="B53" s="100" t="s">
        <v>64</v>
      </c>
      <c r="C53" s="101">
        <v>0</v>
      </c>
      <c r="D53" s="102">
        <v>1</v>
      </c>
      <c r="E53" s="102">
        <v>0</v>
      </c>
      <c r="F53" s="102">
        <v>1</v>
      </c>
      <c r="G53" s="102">
        <v>0</v>
      </c>
      <c r="H53" s="102">
        <v>1</v>
      </c>
      <c r="I53" s="102">
        <v>0</v>
      </c>
      <c r="J53" s="102">
        <v>0</v>
      </c>
      <c r="K53" s="102">
        <v>1</v>
      </c>
      <c r="L53" s="102">
        <v>0</v>
      </c>
      <c r="M53" s="102">
        <v>0</v>
      </c>
      <c r="N53" s="102">
        <v>0</v>
      </c>
      <c r="O53" s="102">
        <v>0</v>
      </c>
      <c r="P53" s="102">
        <v>2</v>
      </c>
      <c r="Q53" s="102">
        <v>0</v>
      </c>
      <c r="R53" s="102">
        <v>6</v>
      </c>
      <c r="S53" s="5">
        <v>3</v>
      </c>
      <c r="T53" s="5">
        <v>3</v>
      </c>
      <c r="U53" s="14">
        <v>56.25</v>
      </c>
      <c r="V53" s="5">
        <v>0</v>
      </c>
      <c r="W53" s="5">
        <v>0</v>
      </c>
      <c r="X53" s="5">
        <v>1</v>
      </c>
      <c r="Y53" s="5">
        <v>0</v>
      </c>
      <c r="Z53" s="5">
        <v>0</v>
      </c>
      <c r="AA53" s="5">
        <v>0</v>
      </c>
    </row>
    <row r="54" spans="1:27" ht="16.2" x14ac:dyDescent="0.35">
      <c r="A54" s="104"/>
      <c r="B54" s="105" t="s">
        <v>65</v>
      </c>
      <c r="C54" s="106">
        <v>0</v>
      </c>
      <c r="D54" s="97">
        <v>0</v>
      </c>
      <c r="E54" s="97">
        <v>3</v>
      </c>
      <c r="F54" s="97">
        <v>1</v>
      </c>
      <c r="G54" s="97">
        <v>5</v>
      </c>
      <c r="H54" s="97">
        <v>6</v>
      </c>
      <c r="I54" s="97">
        <v>3</v>
      </c>
      <c r="J54" s="97">
        <v>0</v>
      </c>
      <c r="K54" s="97">
        <v>0</v>
      </c>
      <c r="L54" s="97">
        <v>3</v>
      </c>
      <c r="M54" s="97">
        <v>0</v>
      </c>
      <c r="N54" s="97">
        <v>3</v>
      </c>
      <c r="O54" s="97">
        <v>1</v>
      </c>
      <c r="P54" s="97">
        <v>3</v>
      </c>
      <c r="Q54" s="97">
        <v>0</v>
      </c>
      <c r="R54" s="97">
        <v>9</v>
      </c>
      <c r="S54" s="87">
        <v>3</v>
      </c>
      <c r="T54" s="5">
        <v>7</v>
      </c>
      <c r="U54" s="14">
        <v>53.5</v>
      </c>
      <c r="V54" s="5">
        <v>0</v>
      </c>
      <c r="W54" s="5">
        <v>0</v>
      </c>
      <c r="X54" s="5">
        <v>1</v>
      </c>
      <c r="Y54" s="5">
        <v>0</v>
      </c>
      <c r="Z54" s="5">
        <v>0</v>
      </c>
      <c r="AA54" s="5">
        <v>0</v>
      </c>
    </row>
  </sheetData>
  <mergeCells count="11">
    <mergeCell ref="K2:O2"/>
    <mergeCell ref="P2:Q2"/>
    <mergeCell ref="A4:A6"/>
    <mergeCell ref="A7:A13"/>
    <mergeCell ref="A14:A22"/>
    <mergeCell ref="A23:A33"/>
    <mergeCell ref="A34:A54"/>
    <mergeCell ref="A1:R1"/>
    <mergeCell ref="A2:B2"/>
    <mergeCell ref="C2:E2"/>
    <mergeCell ref="F2:J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14A0A-89C6-474D-9B35-CE669AD225E0}">
  <dimension ref="A1:E12"/>
  <sheetViews>
    <sheetView topLeftCell="B1" zoomScale="115" zoomScaleNormal="115" workbookViewId="0">
      <selection activeCell="G1" sqref="G1"/>
    </sheetView>
  </sheetViews>
  <sheetFormatPr defaultRowHeight="14.4" x14ac:dyDescent="0.3"/>
  <cols>
    <col min="1" max="1" width="19.5546875" bestFit="1" customWidth="1"/>
    <col min="2" max="2" width="4.5546875" style="6" customWidth="1"/>
    <col min="3" max="3" width="8.77734375" style="6" bestFit="1" customWidth="1"/>
    <col min="4" max="5" width="9.109375" style="6"/>
  </cols>
  <sheetData>
    <row r="1" spans="1:5" x14ac:dyDescent="0.3">
      <c r="A1" s="30" t="s">
        <v>161</v>
      </c>
      <c r="B1" s="13" t="s">
        <v>158</v>
      </c>
      <c r="C1" s="13" t="s">
        <v>159</v>
      </c>
      <c r="D1" s="13" t="s">
        <v>160</v>
      </c>
      <c r="E1" s="13" t="s">
        <v>172</v>
      </c>
    </row>
    <row r="2" spans="1:5" x14ac:dyDescent="0.3">
      <c r="A2" s="33" t="s">
        <v>144</v>
      </c>
      <c r="B2" s="6">
        <v>1</v>
      </c>
      <c r="C2" s="32">
        <v>1.44102</v>
      </c>
      <c r="D2" s="32">
        <v>3.5344000000000002</v>
      </c>
      <c r="E2" s="6">
        <v>1E-3</v>
      </c>
    </row>
    <row r="3" spans="1:5" ht="28.8" x14ac:dyDescent="0.3">
      <c r="A3" s="33" t="s">
        <v>166</v>
      </c>
      <c r="B3" s="6">
        <v>1</v>
      </c>
      <c r="C3" s="32">
        <v>1.0582800000000001</v>
      </c>
      <c r="D3" s="32">
        <v>2.5956999999999999</v>
      </c>
      <c r="E3" s="6">
        <v>6.0000000000000001E-3</v>
      </c>
    </row>
    <row r="4" spans="1:5" x14ac:dyDescent="0.3">
      <c r="A4" s="33" t="s">
        <v>169</v>
      </c>
      <c r="B4" s="6">
        <v>1</v>
      </c>
      <c r="C4" s="32">
        <v>0.67569999999999997</v>
      </c>
      <c r="D4" s="32">
        <v>1.6573</v>
      </c>
      <c r="E4" s="6">
        <v>8.6999999999999994E-2</v>
      </c>
    </row>
    <row r="5" spans="1:5" x14ac:dyDescent="0.3">
      <c r="A5" s="33" t="s">
        <v>167</v>
      </c>
      <c r="B5" s="6">
        <v>1</v>
      </c>
      <c r="C5" s="32">
        <v>0.61531000000000002</v>
      </c>
      <c r="D5" s="32">
        <v>1.5092000000000001</v>
      </c>
      <c r="E5" s="6">
        <v>0.105</v>
      </c>
    </row>
    <row r="6" spans="1:5" x14ac:dyDescent="0.3">
      <c r="A6" s="10" t="s">
        <v>168</v>
      </c>
      <c r="B6" s="6">
        <v>1</v>
      </c>
      <c r="C6" s="32">
        <v>0.51512999999999998</v>
      </c>
      <c r="D6" s="32">
        <v>1.2635000000000001</v>
      </c>
      <c r="E6" s="6">
        <v>0.20200000000000001</v>
      </c>
    </row>
    <row r="7" spans="1:5" x14ac:dyDescent="0.3">
      <c r="A7" s="33" t="s">
        <v>162</v>
      </c>
      <c r="B7" s="6">
        <v>1</v>
      </c>
      <c r="C7" s="32">
        <v>0.48454999999999998</v>
      </c>
      <c r="D7" s="32">
        <v>1.1884999999999999</v>
      </c>
      <c r="E7" s="6">
        <v>0.253</v>
      </c>
    </row>
    <row r="8" spans="1:5" ht="28.8" x14ac:dyDescent="0.3">
      <c r="A8" s="33" t="s">
        <v>163</v>
      </c>
      <c r="B8" s="6">
        <v>1</v>
      </c>
      <c r="C8" s="32">
        <v>0.50429000000000002</v>
      </c>
      <c r="D8" s="32">
        <v>1.2369000000000001</v>
      </c>
      <c r="E8" s="6">
        <v>0.26600000000000001</v>
      </c>
    </row>
    <row r="9" spans="1:5" ht="28.8" x14ac:dyDescent="0.3">
      <c r="A9" s="33" t="s">
        <v>164</v>
      </c>
      <c r="B9" s="6">
        <v>1</v>
      </c>
      <c r="C9" s="32">
        <v>0.45124999999999998</v>
      </c>
      <c r="D9" s="32">
        <v>1.1068</v>
      </c>
      <c r="E9" s="6">
        <v>0.34699999999999998</v>
      </c>
    </row>
    <row r="10" spans="1:5" x14ac:dyDescent="0.3">
      <c r="A10" s="33" t="s">
        <v>165</v>
      </c>
      <c r="B10" s="6">
        <v>1</v>
      </c>
      <c r="C10" s="32">
        <v>0.42892000000000002</v>
      </c>
      <c r="D10" s="32">
        <v>1.052</v>
      </c>
      <c r="E10" s="6">
        <v>0.377</v>
      </c>
    </row>
    <row r="11" spans="1:5" x14ac:dyDescent="0.3">
      <c r="A11" s="33" t="s">
        <v>170</v>
      </c>
      <c r="B11" s="6">
        <v>1</v>
      </c>
      <c r="C11" s="32">
        <v>0.34598000000000001</v>
      </c>
      <c r="D11" s="32">
        <v>0.84860000000000002</v>
      </c>
      <c r="E11" s="6">
        <v>0.61899999999999999</v>
      </c>
    </row>
    <row r="12" spans="1:5" x14ac:dyDescent="0.3">
      <c r="A12" s="10" t="s">
        <v>171</v>
      </c>
      <c r="B12" s="6">
        <v>1</v>
      </c>
      <c r="C12" s="32">
        <v>0.31955</v>
      </c>
      <c r="D12" s="32">
        <v>0.78380000000000005</v>
      </c>
      <c r="E12" s="6">
        <v>0.70699999999999996</v>
      </c>
    </row>
  </sheetData>
  <sortState xmlns:xlrd2="http://schemas.microsoft.com/office/spreadsheetml/2017/richdata2" ref="A2:E12">
    <sortCondition ref="E2:E12"/>
    <sortCondition descending="1" ref="C2:C12"/>
  </sortState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59512-D3C7-42A5-BE5F-F086916E7BDC}">
  <dimension ref="A1:D33"/>
  <sheetViews>
    <sheetView workbookViewId="0">
      <selection activeCell="C18" sqref="C18:D33"/>
    </sheetView>
  </sheetViews>
  <sheetFormatPr defaultRowHeight="14.4" x14ac:dyDescent="0.3"/>
  <cols>
    <col min="1" max="1" width="13.5546875" customWidth="1"/>
    <col min="2" max="2" width="12.5546875" customWidth="1"/>
    <col min="3" max="3" width="13.44140625" bestFit="1" customWidth="1"/>
    <col min="4" max="4" width="13.88671875" bestFit="1" customWidth="1"/>
    <col min="5" max="16" width="12.5546875" customWidth="1"/>
  </cols>
  <sheetData>
    <row r="1" spans="1:4" x14ac:dyDescent="0.3">
      <c r="A1" s="1" t="s">
        <v>102</v>
      </c>
      <c r="B1" s="2" t="s">
        <v>105</v>
      </c>
      <c r="C1" s="1" t="s">
        <v>274</v>
      </c>
      <c r="D1" s="1" t="s">
        <v>275</v>
      </c>
    </row>
    <row r="18" spans="1:4" x14ac:dyDescent="0.3">
      <c r="A18" s="4" t="s">
        <v>1</v>
      </c>
      <c r="B18" s="72">
        <v>20</v>
      </c>
      <c r="C18" s="73">
        <v>2.197568</v>
      </c>
      <c r="D18" s="74">
        <f>C18/LN(B18)</f>
        <v>0.73356621998564386</v>
      </c>
    </row>
    <row r="19" spans="1:4" x14ac:dyDescent="0.3">
      <c r="A19" s="4" t="s">
        <v>2</v>
      </c>
      <c r="B19" s="72">
        <v>14</v>
      </c>
      <c r="C19" s="73">
        <v>2.0725210000000001</v>
      </c>
      <c r="D19" s="74">
        <f>C19/LN(B19)</f>
        <v>0.7853262514392394</v>
      </c>
    </row>
    <row r="20" spans="1:4" x14ac:dyDescent="0.3">
      <c r="A20" s="4" t="s">
        <v>3</v>
      </c>
      <c r="B20" s="72">
        <v>22</v>
      </c>
      <c r="C20" s="73">
        <v>1.94153</v>
      </c>
      <c r="D20" s="74">
        <f>C20/LN(B20)</f>
        <v>0.62811495775174209</v>
      </c>
    </row>
    <row r="21" spans="1:4" x14ac:dyDescent="0.3">
      <c r="A21" s="4" t="s">
        <v>4</v>
      </c>
      <c r="B21" s="72">
        <v>25</v>
      </c>
      <c r="C21" s="73">
        <v>2.4234119999999999</v>
      </c>
      <c r="D21" s="74">
        <v>0.752875268215489</v>
      </c>
    </row>
    <row r="22" spans="1:4" x14ac:dyDescent="0.3">
      <c r="A22" s="4" t="s">
        <v>103</v>
      </c>
      <c r="B22" s="72">
        <v>29</v>
      </c>
      <c r="C22" s="73">
        <v>2.244488</v>
      </c>
      <c r="D22" s="74">
        <v>0.6665550380255767</v>
      </c>
    </row>
    <row r="23" spans="1:4" x14ac:dyDescent="0.3">
      <c r="A23" s="4" t="s">
        <v>104</v>
      </c>
      <c r="B23" s="72">
        <v>16</v>
      </c>
      <c r="C23" s="73">
        <v>2.0143040000000001</v>
      </c>
      <c r="D23" s="74">
        <f>C23/LN(B23)</f>
        <v>0.72650659791070071</v>
      </c>
    </row>
    <row r="24" spans="1:4" x14ac:dyDescent="0.3">
      <c r="A24" s="4" t="s">
        <v>5</v>
      </c>
      <c r="B24" s="72">
        <v>11</v>
      </c>
      <c r="C24" s="73">
        <v>1.7962089999999999</v>
      </c>
      <c r="D24" s="74">
        <v>0.74907733476775407</v>
      </c>
    </row>
    <row r="25" spans="1:4" x14ac:dyDescent="0.3">
      <c r="A25" s="4" t="s">
        <v>276</v>
      </c>
      <c r="B25" s="72">
        <v>6</v>
      </c>
      <c r="C25" s="73">
        <v>1.5941669999999999</v>
      </c>
      <c r="D25" s="74">
        <f t="shared" ref="D25:D32" si="0">C25/LN(B25)</f>
        <v>0.88972154319732211</v>
      </c>
    </row>
    <row r="26" spans="1:4" x14ac:dyDescent="0.3">
      <c r="A26" s="4" t="s">
        <v>7</v>
      </c>
      <c r="B26" s="72">
        <v>13</v>
      </c>
      <c r="C26" s="73">
        <v>2.1751529999999999</v>
      </c>
      <c r="D26" s="74">
        <f t="shared" si="0"/>
        <v>0.84802960872205757</v>
      </c>
    </row>
    <row r="27" spans="1:4" x14ac:dyDescent="0.3">
      <c r="A27" s="4" t="s">
        <v>8</v>
      </c>
      <c r="B27" s="72">
        <v>18</v>
      </c>
      <c r="C27" s="73">
        <v>2.2486989999999998</v>
      </c>
      <c r="D27" s="74">
        <f t="shared" si="0"/>
        <v>0.77799646147828971</v>
      </c>
    </row>
    <row r="28" spans="1:4" x14ac:dyDescent="0.3">
      <c r="A28" s="4" t="s">
        <v>9</v>
      </c>
      <c r="B28" s="72">
        <v>18</v>
      </c>
      <c r="C28" s="73">
        <v>2.4081220000000001</v>
      </c>
      <c r="D28" s="74">
        <f t="shared" si="0"/>
        <v>0.83315303418021802</v>
      </c>
    </row>
    <row r="29" spans="1:4" x14ac:dyDescent="0.3">
      <c r="A29" s="4" t="s">
        <v>10</v>
      </c>
      <c r="B29" s="72">
        <v>17</v>
      </c>
      <c r="C29" s="73">
        <v>2.0190790000000001</v>
      </c>
      <c r="D29" s="74">
        <f t="shared" si="0"/>
        <v>0.71264629761673814</v>
      </c>
    </row>
    <row r="30" spans="1:4" x14ac:dyDescent="0.3">
      <c r="A30" s="4" t="s">
        <v>11</v>
      </c>
      <c r="B30" s="72">
        <v>9</v>
      </c>
      <c r="C30" s="73">
        <v>1.775639</v>
      </c>
      <c r="D30" s="74">
        <f t="shared" si="0"/>
        <v>0.80812813506422543</v>
      </c>
    </row>
    <row r="31" spans="1:4" x14ac:dyDescent="0.3">
      <c r="A31" s="4" t="s">
        <v>12</v>
      </c>
      <c r="B31" s="72">
        <v>12</v>
      </c>
      <c r="C31" s="73">
        <v>1.350754</v>
      </c>
      <c r="D31" s="74">
        <f t="shared" si="0"/>
        <v>0.54358339783719423</v>
      </c>
    </row>
    <row r="32" spans="1:4" x14ac:dyDescent="0.3">
      <c r="A32" s="4" t="s">
        <v>13</v>
      </c>
      <c r="B32" s="72">
        <v>16</v>
      </c>
      <c r="C32" s="73">
        <v>0.93297229999999998</v>
      </c>
      <c r="D32" s="74">
        <f t="shared" si="0"/>
        <v>0.33649862762419258</v>
      </c>
    </row>
    <row r="33" spans="1:4" x14ac:dyDescent="0.3">
      <c r="A33" s="4" t="s">
        <v>14</v>
      </c>
      <c r="B33" s="72">
        <v>41</v>
      </c>
      <c r="C33" s="74">
        <v>3.2112470000000002</v>
      </c>
      <c r="D33" s="74">
        <f t="shared" ref="D33" si="1">C33/LN(B33)</f>
        <v>0.8647326461742515</v>
      </c>
    </row>
  </sheetData>
  <autoFilter ref="A1:D1" xr:uid="{9EB59512-D3C7-42A5-BE5F-F086916E7BDC}">
    <sortState xmlns:xlrd2="http://schemas.microsoft.com/office/spreadsheetml/2017/richdata2" ref="A2:D17">
      <sortCondition descending="1" ref="C1"/>
    </sortState>
  </autoFilter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F5567-9C66-4DBE-9F91-0943DD5BA96D}">
  <dimension ref="A1:AI18"/>
  <sheetViews>
    <sheetView zoomScale="70" zoomScaleNormal="70" workbookViewId="0">
      <selection activeCell="H17" sqref="H17"/>
    </sheetView>
  </sheetViews>
  <sheetFormatPr defaultRowHeight="14.4" x14ac:dyDescent="0.3"/>
  <sheetData>
    <row r="1" spans="1:35" x14ac:dyDescent="0.3">
      <c r="A1" s="77"/>
      <c r="B1" s="76" t="s">
        <v>107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25"/>
      <c r="S1" s="76"/>
      <c r="T1" s="76" t="s">
        <v>108</v>
      </c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</row>
    <row r="2" spans="1:35" x14ac:dyDescent="0.3">
      <c r="A2" s="78"/>
      <c r="B2" s="3" t="s">
        <v>109</v>
      </c>
      <c r="C2" s="15" t="s">
        <v>110</v>
      </c>
      <c r="D2" s="15" t="s">
        <v>111</v>
      </c>
      <c r="E2" s="15" t="s">
        <v>112</v>
      </c>
      <c r="F2" s="15" t="s">
        <v>113</v>
      </c>
      <c r="G2" s="15" t="s">
        <v>114</v>
      </c>
      <c r="H2" s="15" t="s">
        <v>115</v>
      </c>
      <c r="I2" s="15" t="s">
        <v>116</v>
      </c>
      <c r="J2" s="15" t="s">
        <v>117</v>
      </c>
      <c r="K2" s="15" t="s">
        <v>118</v>
      </c>
      <c r="L2" s="15" t="s">
        <v>119</v>
      </c>
      <c r="M2" s="15" t="s">
        <v>120</v>
      </c>
      <c r="N2" s="15" t="s">
        <v>121</v>
      </c>
      <c r="O2" s="15" t="s">
        <v>122</v>
      </c>
      <c r="P2" s="15" t="s">
        <v>123</v>
      </c>
      <c r="Q2" s="15" t="s">
        <v>124</v>
      </c>
      <c r="R2" s="16"/>
      <c r="S2" s="76"/>
      <c r="T2" s="3" t="s">
        <v>109</v>
      </c>
      <c r="U2" s="15" t="s">
        <v>110</v>
      </c>
      <c r="V2" s="15" t="s">
        <v>111</v>
      </c>
      <c r="W2" s="15" t="s">
        <v>112</v>
      </c>
      <c r="X2" s="15" t="s">
        <v>113</v>
      </c>
      <c r="Y2" s="15" t="s">
        <v>114</v>
      </c>
      <c r="Z2" s="15" t="s">
        <v>115</v>
      </c>
      <c r="AA2" s="15" t="s">
        <v>116</v>
      </c>
      <c r="AB2" s="15" t="s">
        <v>117</v>
      </c>
      <c r="AC2" s="15" t="s">
        <v>118</v>
      </c>
      <c r="AD2" s="15" t="s">
        <v>119</v>
      </c>
      <c r="AE2" s="15" t="s">
        <v>120</v>
      </c>
      <c r="AF2" s="15" t="s">
        <v>121</v>
      </c>
      <c r="AG2" s="15" t="s">
        <v>122</v>
      </c>
      <c r="AH2" s="15" t="s">
        <v>123</v>
      </c>
      <c r="AI2" s="15" t="s">
        <v>124</v>
      </c>
    </row>
    <row r="3" spans="1:35" x14ac:dyDescent="0.3">
      <c r="A3" s="3" t="s">
        <v>109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7"/>
      <c r="R3" s="17"/>
      <c r="S3" s="3" t="s">
        <v>109</v>
      </c>
      <c r="AI3" s="18"/>
    </row>
    <row r="4" spans="1:35" x14ac:dyDescent="0.3">
      <c r="A4" s="15" t="s">
        <v>110</v>
      </c>
      <c r="B4" s="16">
        <v>0.29894002800000002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7"/>
      <c r="R4" s="17"/>
      <c r="S4" s="15" t="s">
        <v>110</v>
      </c>
      <c r="T4" s="19">
        <f t="shared" ref="T4:T18" si="0">1-B4</f>
        <v>0.70105997199999992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20"/>
    </row>
    <row r="5" spans="1:35" x14ac:dyDescent="0.3">
      <c r="A5" s="15" t="s">
        <v>111</v>
      </c>
      <c r="B5" s="16">
        <v>4.4025425999999999E-2</v>
      </c>
      <c r="C5" s="16">
        <v>0.37563516600000002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7"/>
      <c r="R5" s="17"/>
      <c r="S5" s="15" t="s">
        <v>111</v>
      </c>
      <c r="T5" s="19">
        <f t="shared" si="0"/>
        <v>0.95597457399999997</v>
      </c>
      <c r="U5" s="19">
        <f t="shared" ref="U5:U18" si="1">1-C5</f>
        <v>0.62436483399999998</v>
      </c>
      <c r="V5" s="19"/>
      <c r="W5" s="19"/>
      <c r="X5" s="19"/>
      <c r="Y5" s="19"/>
      <c r="Z5" s="19"/>
      <c r="AA5" s="19"/>
      <c r="AB5" s="19"/>
      <c r="AC5" s="19"/>
      <c r="AD5" s="19"/>
      <c r="AE5" s="19"/>
      <c r="AF5" s="19"/>
      <c r="AG5" s="19"/>
      <c r="AH5" s="19"/>
      <c r="AI5" s="20"/>
    </row>
    <row r="6" spans="1:35" x14ac:dyDescent="0.3">
      <c r="A6" s="15" t="s">
        <v>112</v>
      </c>
      <c r="B6" s="16">
        <v>0.28628344</v>
      </c>
      <c r="C6" s="16">
        <v>0.42594605699999999</v>
      </c>
      <c r="D6" s="16">
        <v>0.11361265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7"/>
      <c r="R6" s="17"/>
      <c r="S6" s="15" t="s">
        <v>112</v>
      </c>
      <c r="T6" s="19">
        <f t="shared" si="0"/>
        <v>0.71371655999999994</v>
      </c>
      <c r="U6" s="19">
        <f t="shared" si="1"/>
        <v>0.57405394300000001</v>
      </c>
      <c r="V6" s="19">
        <f t="shared" ref="V6:V18" si="2">1-D6</f>
        <v>0.88638735000000002</v>
      </c>
      <c r="W6" s="19"/>
      <c r="X6" s="19"/>
      <c r="Y6" s="19"/>
      <c r="Z6" s="19"/>
      <c r="AA6" s="19"/>
      <c r="AB6" s="19"/>
      <c r="AC6" s="19"/>
      <c r="AD6" s="19"/>
      <c r="AE6" s="19"/>
      <c r="AF6" s="19"/>
      <c r="AG6" s="19"/>
      <c r="AH6" s="19"/>
      <c r="AI6" s="20"/>
    </row>
    <row r="7" spans="1:35" x14ac:dyDescent="0.3">
      <c r="A7" s="15" t="s">
        <v>113</v>
      </c>
      <c r="B7" s="16">
        <v>0.54469277900000002</v>
      </c>
      <c r="C7" s="16">
        <v>0.50983810200000002</v>
      </c>
      <c r="D7" s="16">
        <v>0.42386745599999998</v>
      </c>
      <c r="E7" s="16">
        <v>9.9434381000000002E-2</v>
      </c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7"/>
      <c r="R7" s="17"/>
      <c r="S7" s="15" t="s">
        <v>113</v>
      </c>
      <c r="T7" s="19">
        <f t="shared" si="0"/>
        <v>0.45530722099999998</v>
      </c>
      <c r="U7" s="19">
        <f t="shared" si="1"/>
        <v>0.49016189799999998</v>
      </c>
      <c r="V7" s="19">
        <f t="shared" si="2"/>
        <v>0.57613254400000002</v>
      </c>
      <c r="W7" s="19">
        <f t="shared" ref="W7:W18" si="3">1-E7</f>
        <v>0.90056561899999998</v>
      </c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20"/>
    </row>
    <row r="8" spans="1:35" x14ac:dyDescent="0.3">
      <c r="A8" s="15" t="s">
        <v>114</v>
      </c>
      <c r="B8" s="16">
        <v>0.126392433</v>
      </c>
      <c r="C8" s="16">
        <v>0.575296743</v>
      </c>
      <c r="D8" s="16">
        <v>4.9246231000000001E-2</v>
      </c>
      <c r="E8" s="16">
        <v>0.16790745400000001</v>
      </c>
      <c r="F8" s="16">
        <v>0.54967366299999998</v>
      </c>
      <c r="G8" s="16"/>
      <c r="H8" s="16"/>
      <c r="I8" s="16"/>
      <c r="J8" s="16"/>
      <c r="K8" s="16"/>
      <c r="L8" s="16"/>
      <c r="M8" s="16"/>
      <c r="N8" s="16"/>
      <c r="O8" s="16"/>
      <c r="P8" s="16"/>
      <c r="Q8" s="17"/>
      <c r="R8" s="17"/>
      <c r="S8" s="15" t="s">
        <v>114</v>
      </c>
      <c r="T8" s="19">
        <f t="shared" si="0"/>
        <v>0.87360756699999997</v>
      </c>
      <c r="U8" s="19">
        <f t="shared" si="1"/>
        <v>0.424703257</v>
      </c>
      <c r="V8" s="19">
        <f t="shared" si="2"/>
        <v>0.95075376899999997</v>
      </c>
      <c r="W8" s="19">
        <f t="shared" si="3"/>
        <v>0.83209254599999993</v>
      </c>
      <c r="X8" s="19">
        <f t="shared" ref="X8:X18" si="4">1-F8</f>
        <v>0.45032633700000002</v>
      </c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20"/>
    </row>
    <row r="9" spans="1:35" x14ac:dyDescent="0.3">
      <c r="A9" s="15" t="s">
        <v>115</v>
      </c>
      <c r="B9" s="16">
        <v>0.16148749300000001</v>
      </c>
      <c r="C9" s="16">
        <v>0.18591073</v>
      </c>
      <c r="D9" s="16">
        <v>0.17374763500000001</v>
      </c>
      <c r="E9" s="16">
        <v>0.180544234</v>
      </c>
      <c r="F9" s="16">
        <v>0.56940141899999996</v>
      </c>
      <c r="G9" s="16">
        <v>0.154951001</v>
      </c>
      <c r="H9" s="16"/>
      <c r="I9" s="16"/>
      <c r="J9" s="16"/>
      <c r="K9" s="16"/>
      <c r="L9" s="16"/>
      <c r="M9" s="16"/>
      <c r="N9" s="16"/>
      <c r="O9" s="16"/>
      <c r="P9" s="16"/>
      <c r="Q9" s="17"/>
      <c r="R9" s="17"/>
      <c r="S9" s="15" t="s">
        <v>115</v>
      </c>
      <c r="T9" s="19">
        <f t="shared" si="0"/>
        <v>0.83851250700000002</v>
      </c>
      <c r="U9" s="19">
        <f t="shared" si="1"/>
        <v>0.81408926999999998</v>
      </c>
      <c r="V9" s="19">
        <f t="shared" si="2"/>
        <v>0.82625236499999999</v>
      </c>
      <c r="W9" s="19">
        <f t="shared" si="3"/>
        <v>0.81945576600000003</v>
      </c>
      <c r="X9" s="19">
        <f t="shared" si="4"/>
        <v>0.43059858100000004</v>
      </c>
      <c r="Y9" s="19">
        <f t="shared" ref="Y9:Y18" si="5">1-G9</f>
        <v>0.84504899899999997</v>
      </c>
      <c r="Z9" s="19"/>
      <c r="AA9" s="19"/>
      <c r="AB9" s="19"/>
      <c r="AC9" s="19"/>
      <c r="AD9" s="19"/>
      <c r="AE9" s="19"/>
      <c r="AF9" s="19"/>
      <c r="AG9" s="19"/>
      <c r="AH9" s="19"/>
      <c r="AI9" s="20"/>
    </row>
    <row r="10" spans="1:35" x14ac:dyDescent="0.3">
      <c r="A10" s="15" t="s">
        <v>116</v>
      </c>
      <c r="B10" s="16">
        <v>4.7619047999999997E-2</v>
      </c>
      <c r="C10" s="16">
        <v>0.25770984200000002</v>
      </c>
      <c r="D10" s="16">
        <v>0</v>
      </c>
      <c r="E10" s="16">
        <v>0.193050324</v>
      </c>
      <c r="F10" s="16">
        <v>0.44573598800000003</v>
      </c>
      <c r="G10" s="16">
        <v>0.222222222</v>
      </c>
      <c r="H10" s="16">
        <v>0</v>
      </c>
      <c r="I10" s="16"/>
      <c r="J10" s="16"/>
      <c r="K10" s="16"/>
      <c r="L10" s="16"/>
      <c r="M10" s="16"/>
      <c r="N10" s="16"/>
      <c r="O10" s="16"/>
      <c r="P10" s="16"/>
      <c r="Q10" s="17"/>
      <c r="R10" s="17"/>
      <c r="S10" s="15" t="s">
        <v>116</v>
      </c>
      <c r="T10" s="19">
        <f t="shared" si="0"/>
        <v>0.95238095199999995</v>
      </c>
      <c r="U10" s="19">
        <f t="shared" si="1"/>
        <v>0.74229015799999998</v>
      </c>
      <c r="V10" s="19">
        <f t="shared" si="2"/>
        <v>1</v>
      </c>
      <c r="W10" s="19">
        <f t="shared" si="3"/>
        <v>0.806949676</v>
      </c>
      <c r="X10" s="19">
        <f t="shared" si="4"/>
        <v>0.55426401199999997</v>
      </c>
      <c r="Y10" s="19">
        <f t="shared" si="5"/>
        <v>0.77777777800000003</v>
      </c>
      <c r="Z10" s="19">
        <f t="shared" ref="Z10:Z18" si="6">1-H10</f>
        <v>1</v>
      </c>
      <c r="AA10" s="19"/>
      <c r="AB10" s="19"/>
      <c r="AC10" s="19"/>
      <c r="AD10" s="19"/>
      <c r="AE10" s="19"/>
      <c r="AF10" s="19"/>
      <c r="AG10" s="19"/>
      <c r="AH10" s="19"/>
      <c r="AI10" s="20"/>
    </row>
    <row r="11" spans="1:35" x14ac:dyDescent="0.3">
      <c r="A11" s="15" t="s">
        <v>117</v>
      </c>
      <c r="B11" s="16">
        <v>0.199452356</v>
      </c>
      <c r="C11" s="16">
        <v>0.33414695700000002</v>
      </c>
      <c r="D11" s="16">
        <v>0.13181475600000001</v>
      </c>
      <c r="E11" s="16">
        <v>0.15678092499999999</v>
      </c>
      <c r="F11" s="16">
        <v>0.59795956800000005</v>
      </c>
      <c r="G11" s="16">
        <v>0.23748633599999999</v>
      </c>
      <c r="H11" s="16">
        <v>2.8269692999999999E-2</v>
      </c>
      <c r="I11" s="16">
        <v>4.7619047999999997E-2</v>
      </c>
      <c r="J11" s="16"/>
      <c r="K11" s="16"/>
      <c r="L11" s="16"/>
      <c r="M11" s="16"/>
      <c r="N11" s="16"/>
      <c r="O11" s="16"/>
      <c r="P11" s="16"/>
      <c r="Q11" s="17"/>
      <c r="R11" s="17"/>
      <c r="S11" s="15" t="s">
        <v>117</v>
      </c>
      <c r="T11" s="19">
        <f t="shared" si="0"/>
        <v>0.800547644</v>
      </c>
      <c r="U11" s="19">
        <f t="shared" si="1"/>
        <v>0.66585304300000003</v>
      </c>
      <c r="V11" s="19">
        <f t="shared" si="2"/>
        <v>0.86818524399999997</v>
      </c>
      <c r="W11" s="19">
        <f t="shared" si="3"/>
        <v>0.84321907500000004</v>
      </c>
      <c r="X11" s="19">
        <f t="shared" si="4"/>
        <v>0.40204043199999995</v>
      </c>
      <c r="Y11" s="19">
        <f t="shared" si="5"/>
        <v>0.76251366399999998</v>
      </c>
      <c r="Z11" s="19">
        <f t="shared" si="6"/>
        <v>0.97173030699999996</v>
      </c>
      <c r="AA11" s="19">
        <f t="shared" ref="AA11:AA18" si="7">1-I11</f>
        <v>0.95238095199999995</v>
      </c>
      <c r="AB11" s="19"/>
      <c r="AC11" s="19"/>
      <c r="AD11" s="19"/>
      <c r="AE11" s="19"/>
      <c r="AF11" s="19"/>
      <c r="AG11" s="19"/>
      <c r="AH11" s="19"/>
      <c r="AI11" s="20"/>
    </row>
    <row r="12" spans="1:35" x14ac:dyDescent="0.3">
      <c r="A12" s="15" t="s">
        <v>118</v>
      </c>
      <c r="B12" s="16">
        <v>7.3742191999999998E-2</v>
      </c>
      <c r="C12" s="16">
        <v>0.487654855</v>
      </c>
      <c r="D12" s="16">
        <v>0</v>
      </c>
      <c r="E12" s="16">
        <v>0.17306094</v>
      </c>
      <c r="F12" s="16">
        <v>0.51832748100000003</v>
      </c>
      <c r="G12" s="16">
        <v>0.103896104</v>
      </c>
      <c r="H12" s="16">
        <v>6.6143503000000006E-2</v>
      </c>
      <c r="I12" s="16">
        <v>0</v>
      </c>
      <c r="J12" s="16">
        <v>0.18642873900000001</v>
      </c>
      <c r="K12" s="16"/>
      <c r="L12" s="16"/>
      <c r="M12" s="16"/>
      <c r="N12" s="16"/>
      <c r="O12" s="16"/>
      <c r="P12" s="16"/>
      <c r="Q12" s="17"/>
      <c r="R12" s="17"/>
      <c r="S12" s="15" t="s">
        <v>118</v>
      </c>
      <c r="T12" s="19">
        <f t="shared" si="0"/>
        <v>0.92625780800000002</v>
      </c>
      <c r="U12" s="19">
        <f t="shared" si="1"/>
        <v>0.51234514500000006</v>
      </c>
      <c r="V12" s="19">
        <f t="shared" si="2"/>
        <v>1</v>
      </c>
      <c r="W12" s="19">
        <f t="shared" si="3"/>
        <v>0.82693905999999995</v>
      </c>
      <c r="X12" s="19">
        <f t="shared" si="4"/>
        <v>0.48167251899999997</v>
      </c>
      <c r="Y12" s="19">
        <f t="shared" si="5"/>
        <v>0.89610389599999996</v>
      </c>
      <c r="Z12" s="19">
        <f t="shared" si="6"/>
        <v>0.93385649699999995</v>
      </c>
      <c r="AA12" s="19">
        <f t="shared" si="7"/>
        <v>1</v>
      </c>
      <c r="AB12" s="19">
        <f t="shared" ref="AB12:AB18" si="8">1-J12</f>
        <v>0.81357126099999999</v>
      </c>
      <c r="AC12" s="19"/>
      <c r="AD12" s="19"/>
      <c r="AE12" s="19"/>
      <c r="AF12" s="19"/>
      <c r="AG12" s="19"/>
      <c r="AH12" s="19"/>
      <c r="AI12" s="20"/>
    </row>
    <row r="13" spans="1:35" x14ac:dyDescent="0.3">
      <c r="A13" s="15" t="s">
        <v>119</v>
      </c>
      <c r="B13" s="16">
        <v>0.118754152</v>
      </c>
      <c r="C13" s="16">
        <v>0.36394656199999997</v>
      </c>
      <c r="D13" s="16">
        <v>8.6010111E-2</v>
      </c>
      <c r="E13" s="16">
        <v>0.19339271699999999</v>
      </c>
      <c r="F13" s="16">
        <v>0.53029729000000003</v>
      </c>
      <c r="G13" s="16">
        <v>0.148631649</v>
      </c>
      <c r="H13" s="16">
        <v>0.26283583500000002</v>
      </c>
      <c r="I13" s="16">
        <v>0</v>
      </c>
      <c r="J13" s="16">
        <v>0.29757505299999998</v>
      </c>
      <c r="K13" s="16">
        <v>7.0798770999999996E-2</v>
      </c>
      <c r="L13" s="16"/>
      <c r="M13" s="16"/>
      <c r="N13" s="16"/>
      <c r="O13" s="16"/>
      <c r="P13" s="16"/>
      <c r="Q13" s="17"/>
      <c r="R13" s="17"/>
      <c r="S13" s="15" t="s">
        <v>119</v>
      </c>
      <c r="T13" s="19">
        <f t="shared" si="0"/>
        <v>0.88124584800000005</v>
      </c>
      <c r="U13" s="19">
        <f t="shared" si="1"/>
        <v>0.63605343800000003</v>
      </c>
      <c r="V13" s="19">
        <f t="shared" si="2"/>
        <v>0.913989889</v>
      </c>
      <c r="W13" s="19">
        <f t="shared" si="3"/>
        <v>0.80660728299999995</v>
      </c>
      <c r="X13" s="19">
        <f t="shared" si="4"/>
        <v>0.46970270999999997</v>
      </c>
      <c r="Y13" s="19">
        <f t="shared" si="5"/>
        <v>0.85136835099999997</v>
      </c>
      <c r="Z13" s="19">
        <f t="shared" si="6"/>
        <v>0.73716416500000004</v>
      </c>
      <c r="AA13" s="19">
        <f t="shared" si="7"/>
        <v>1</v>
      </c>
      <c r="AB13" s="19">
        <f t="shared" si="8"/>
        <v>0.70242494700000002</v>
      </c>
      <c r="AC13" s="19">
        <f t="shared" ref="AC13:AC18" si="9">1-K13</f>
        <v>0.92920122900000002</v>
      </c>
      <c r="AD13" s="19"/>
      <c r="AE13" s="19"/>
      <c r="AF13" s="19"/>
      <c r="AG13" s="19"/>
      <c r="AH13" s="19"/>
      <c r="AI13" s="20"/>
    </row>
    <row r="14" spans="1:35" x14ac:dyDescent="0.3">
      <c r="A14" s="15" t="s">
        <v>120</v>
      </c>
      <c r="B14" s="16">
        <v>0.14540436100000001</v>
      </c>
      <c r="C14" s="16">
        <v>0.58382365999999997</v>
      </c>
      <c r="D14" s="16">
        <v>0.129215726</v>
      </c>
      <c r="E14" s="16">
        <v>0.27378707800000002</v>
      </c>
      <c r="F14" s="16">
        <v>0.497369534</v>
      </c>
      <c r="G14" s="16">
        <v>0.22782248999999999</v>
      </c>
      <c r="H14" s="16">
        <v>9.5749722999999995E-2</v>
      </c>
      <c r="I14" s="16">
        <v>0</v>
      </c>
      <c r="J14" s="16">
        <v>0.14390095</v>
      </c>
      <c r="K14" s="16">
        <v>0.107374488</v>
      </c>
      <c r="L14" s="16">
        <v>0.101114488</v>
      </c>
      <c r="M14" s="16"/>
      <c r="N14" s="16"/>
      <c r="O14" s="16"/>
      <c r="P14" s="16"/>
      <c r="Q14" s="17"/>
      <c r="R14" s="17"/>
      <c r="S14" s="15" t="s">
        <v>120</v>
      </c>
      <c r="T14" s="19">
        <f t="shared" si="0"/>
        <v>0.85459563900000002</v>
      </c>
      <c r="U14" s="19">
        <f t="shared" si="1"/>
        <v>0.41617634000000003</v>
      </c>
      <c r="V14" s="19">
        <f t="shared" si="2"/>
        <v>0.87078427400000002</v>
      </c>
      <c r="W14" s="19">
        <f t="shared" si="3"/>
        <v>0.72621292199999998</v>
      </c>
      <c r="X14" s="19">
        <f t="shared" si="4"/>
        <v>0.50263046600000005</v>
      </c>
      <c r="Y14" s="19">
        <f t="shared" si="5"/>
        <v>0.77217751000000001</v>
      </c>
      <c r="Z14" s="19">
        <f t="shared" si="6"/>
        <v>0.90425027700000005</v>
      </c>
      <c r="AA14" s="19">
        <f t="shared" si="7"/>
        <v>1</v>
      </c>
      <c r="AB14" s="19">
        <f t="shared" si="8"/>
        <v>0.85609904999999997</v>
      </c>
      <c r="AC14" s="19">
        <f t="shared" si="9"/>
        <v>0.89262551199999995</v>
      </c>
      <c r="AD14" s="19">
        <f>1-L14</f>
        <v>0.898885512</v>
      </c>
      <c r="AE14" s="19"/>
      <c r="AF14" s="19"/>
      <c r="AG14" s="19"/>
      <c r="AH14" s="19"/>
      <c r="AI14" s="20"/>
    </row>
    <row r="15" spans="1:35" x14ac:dyDescent="0.3">
      <c r="A15" s="15" t="s">
        <v>121</v>
      </c>
      <c r="B15" s="16">
        <v>0.213605937</v>
      </c>
      <c r="C15" s="16">
        <v>0.31124106499999998</v>
      </c>
      <c r="D15" s="16">
        <v>8.4923307000000003E-2</v>
      </c>
      <c r="E15" s="16">
        <v>0.33018058900000002</v>
      </c>
      <c r="F15" s="16">
        <v>0.62807937999999996</v>
      </c>
      <c r="G15" s="16">
        <v>0.23640836400000001</v>
      </c>
      <c r="H15" s="16">
        <v>6.4979071999999999E-2</v>
      </c>
      <c r="I15" s="16">
        <v>4.7619047999999997E-2</v>
      </c>
      <c r="J15" s="16">
        <v>0.13673855500000001</v>
      </c>
      <c r="K15" s="16">
        <v>0.22080802099999999</v>
      </c>
      <c r="L15" s="16">
        <v>0.21120027799999999</v>
      </c>
      <c r="M15" s="16">
        <v>0.13650242900000001</v>
      </c>
      <c r="N15" s="16"/>
      <c r="O15" s="16"/>
      <c r="P15" s="16"/>
      <c r="Q15" s="17"/>
      <c r="R15" s="17"/>
      <c r="S15" s="15" t="s">
        <v>121</v>
      </c>
      <c r="T15" s="19">
        <f t="shared" si="0"/>
        <v>0.78639406300000003</v>
      </c>
      <c r="U15" s="19">
        <f t="shared" si="1"/>
        <v>0.68875893500000007</v>
      </c>
      <c r="V15" s="19">
        <f t="shared" si="2"/>
        <v>0.91507669300000005</v>
      </c>
      <c r="W15" s="19">
        <f t="shared" si="3"/>
        <v>0.66981941099999998</v>
      </c>
      <c r="X15" s="19">
        <f t="shared" si="4"/>
        <v>0.37192062000000004</v>
      </c>
      <c r="Y15" s="19">
        <f t="shared" si="5"/>
        <v>0.76359163600000002</v>
      </c>
      <c r="Z15" s="19">
        <f t="shared" si="6"/>
        <v>0.93502092800000003</v>
      </c>
      <c r="AA15" s="19">
        <f t="shared" si="7"/>
        <v>0.95238095199999995</v>
      </c>
      <c r="AB15" s="19">
        <f t="shared" si="8"/>
        <v>0.86326144500000002</v>
      </c>
      <c r="AC15" s="19">
        <f t="shared" si="9"/>
        <v>0.77919197900000003</v>
      </c>
      <c r="AD15" s="19">
        <f>1-L15</f>
        <v>0.78879972200000004</v>
      </c>
      <c r="AE15" s="19">
        <f>1-M15</f>
        <v>0.86349757100000002</v>
      </c>
      <c r="AF15" s="19"/>
      <c r="AG15" s="19"/>
      <c r="AH15" s="19"/>
      <c r="AI15" s="20"/>
    </row>
    <row r="16" spans="1:35" x14ac:dyDescent="0.3">
      <c r="A16" s="15" t="s">
        <v>122</v>
      </c>
      <c r="B16" s="16">
        <v>0.23332944799999999</v>
      </c>
      <c r="C16" s="16">
        <v>0.142905901</v>
      </c>
      <c r="D16" s="16">
        <v>0.239332035</v>
      </c>
      <c r="E16" s="16">
        <v>0.35774080200000002</v>
      </c>
      <c r="F16" s="16">
        <v>0.64842057200000003</v>
      </c>
      <c r="G16" s="16">
        <v>0.387379643</v>
      </c>
      <c r="H16" s="16">
        <v>6.0938449999999996E-3</v>
      </c>
      <c r="I16" s="16">
        <v>8.9345691000000005E-2</v>
      </c>
      <c r="J16" s="16">
        <v>0.104595613</v>
      </c>
      <c r="K16" s="16">
        <v>0.168869667</v>
      </c>
      <c r="L16" s="16">
        <v>0.26001168200000002</v>
      </c>
      <c r="M16" s="16">
        <v>1.2044394999999999E-2</v>
      </c>
      <c r="N16" s="16">
        <v>8.0247445000000001E-2</v>
      </c>
      <c r="O16" s="16"/>
      <c r="P16" s="16"/>
      <c r="Q16" s="17"/>
      <c r="R16" s="17"/>
      <c r="S16" s="15" t="s">
        <v>122</v>
      </c>
      <c r="T16" s="19">
        <f t="shared" si="0"/>
        <v>0.76667055200000001</v>
      </c>
      <c r="U16" s="19">
        <f t="shared" si="1"/>
        <v>0.857094099</v>
      </c>
      <c r="V16" s="19">
        <f t="shared" si="2"/>
        <v>0.760667965</v>
      </c>
      <c r="W16" s="19">
        <f t="shared" si="3"/>
        <v>0.64225919799999998</v>
      </c>
      <c r="X16" s="19">
        <f t="shared" si="4"/>
        <v>0.35157942799999997</v>
      </c>
      <c r="Y16" s="19">
        <f t="shared" si="5"/>
        <v>0.61262035699999995</v>
      </c>
      <c r="Z16" s="19">
        <f t="shared" si="6"/>
        <v>0.99390615500000001</v>
      </c>
      <c r="AA16" s="19">
        <f t="shared" si="7"/>
        <v>0.910654309</v>
      </c>
      <c r="AB16" s="19">
        <f t="shared" si="8"/>
        <v>0.89540438700000002</v>
      </c>
      <c r="AC16" s="19">
        <f t="shared" si="9"/>
        <v>0.83113033299999994</v>
      </c>
      <c r="AD16" s="19">
        <f>1-L16</f>
        <v>0.73998831799999998</v>
      </c>
      <c r="AE16" s="19">
        <f>1-M16</f>
        <v>0.98795560500000001</v>
      </c>
      <c r="AF16" s="19">
        <f>1-N16</f>
        <v>0.91975255499999997</v>
      </c>
      <c r="AG16" s="19"/>
      <c r="AH16" s="19"/>
      <c r="AI16" s="20"/>
    </row>
    <row r="17" spans="1:35" x14ac:dyDescent="0.3">
      <c r="A17" s="15" t="s">
        <v>123</v>
      </c>
      <c r="B17" s="16">
        <v>1.9277974E-2</v>
      </c>
      <c r="C17" s="16">
        <v>0.14975040100000001</v>
      </c>
      <c r="D17" s="16">
        <v>0.13567427500000001</v>
      </c>
      <c r="E17" s="16">
        <v>0.24189308300000001</v>
      </c>
      <c r="F17" s="16">
        <v>0.58611585300000002</v>
      </c>
      <c r="G17" s="16">
        <v>0.25029121599999998</v>
      </c>
      <c r="H17" s="16">
        <v>4.2596533999999998E-2</v>
      </c>
      <c r="I17" s="16">
        <v>2.3373633000000001E-2</v>
      </c>
      <c r="J17" s="16">
        <v>3.3248081999999998E-2</v>
      </c>
      <c r="K17" s="16">
        <v>8.9948245999999996E-2</v>
      </c>
      <c r="L17" s="16">
        <v>0.170795791</v>
      </c>
      <c r="M17" s="16">
        <v>1.7670788999999999E-2</v>
      </c>
      <c r="N17" s="16">
        <v>4.3476506999999998E-2</v>
      </c>
      <c r="O17" s="16">
        <v>3.8653109999999997E-2</v>
      </c>
      <c r="P17" s="16"/>
      <c r="Q17" s="17"/>
      <c r="R17" s="17"/>
      <c r="S17" s="15" t="s">
        <v>123</v>
      </c>
      <c r="T17" s="19">
        <f t="shared" si="0"/>
        <v>0.98072202600000002</v>
      </c>
      <c r="U17" s="19">
        <f t="shared" si="1"/>
        <v>0.85024959899999997</v>
      </c>
      <c r="V17" s="19">
        <f t="shared" si="2"/>
        <v>0.86432572500000004</v>
      </c>
      <c r="W17" s="19">
        <f t="shared" si="3"/>
        <v>0.75810691699999999</v>
      </c>
      <c r="X17" s="19">
        <f t="shared" si="4"/>
        <v>0.41388414699999998</v>
      </c>
      <c r="Y17" s="19">
        <f t="shared" si="5"/>
        <v>0.74970878400000007</v>
      </c>
      <c r="Z17" s="19">
        <f t="shared" si="6"/>
        <v>0.95740346600000004</v>
      </c>
      <c r="AA17" s="19">
        <f t="shared" si="7"/>
        <v>0.97662636700000005</v>
      </c>
      <c r="AB17" s="19">
        <f t="shared" si="8"/>
        <v>0.96675191800000004</v>
      </c>
      <c r="AC17" s="19">
        <f t="shared" si="9"/>
        <v>0.91005175400000005</v>
      </c>
      <c r="AD17" s="19">
        <f>1-L17</f>
        <v>0.82920420900000003</v>
      </c>
      <c r="AE17" s="19">
        <f>1-M17</f>
        <v>0.98232921100000004</v>
      </c>
      <c r="AF17" s="19">
        <f>1-N17</f>
        <v>0.95652349299999995</v>
      </c>
      <c r="AG17" s="19">
        <f>1-O17</f>
        <v>0.96134688999999995</v>
      </c>
      <c r="AH17" s="19"/>
      <c r="AI17" s="20"/>
    </row>
    <row r="18" spans="1:35" x14ac:dyDescent="0.3">
      <c r="A18" s="15" t="s">
        <v>124</v>
      </c>
      <c r="B18" s="21">
        <v>0.174032398</v>
      </c>
      <c r="C18" s="21">
        <v>0.35276669399999999</v>
      </c>
      <c r="D18" s="21">
        <v>0.17828508500000001</v>
      </c>
      <c r="E18" s="21">
        <v>0.10247070599999999</v>
      </c>
      <c r="F18" s="21">
        <v>5.3684254000000001E-2</v>
      </c>
      <c r="G18" s="21">
        <v>0.34292592900000002</v>
      </c>
      <c r="H18" s="21">
        <v>0.24650660199999999</v>
      </c>
      <c r="I18" s="21">
        <v>9.2888737999999998E-2</v>
      </c>
      <c r="J18" s="21">
        <v>0.28176159499999998</v>
      </c>
      <c r="K18" s="21">
        <v>0.23956730300000001</v>
      </c>
      <c r="L18" s="21">
        <v>0.25292303399999999</v>
      </c>
      <c r="M18" s="21">
        <v>0.19336515600000001</v>
      </c>
      <c r="N18" s="21">
        <v>0.37127829400000001</v>
      </c>
      <c r="O18" s="21">
        <v>0.34776519700000003</v>
      </c>
      <c r="P18" s="21">
        <v>0.117369652</v>
      </c>
      <c r="Q18" s="22"/>
      <c r="R18" s="16"/>
      <c r="S18" s="15" t="s">
        <v>124</v>
      </c>
      <c r="T18" s="23">
        <f t="shared" si="0"/>
        <v>0.82596760199999997</v>
      </c>
      <c r="U18" s="23">
        <f t="shared" si="1"/>
        <v>0.64723330599999995</v>
      </c>
      <c r="V18" s="23">
        <f t="shared" si="2"/>
        <v>0.82171491500000005</v>
      </c>
      <c r="W18" s="23">
        <f t="shared" si="3"/>
        <v>0.89752929400000003</v>
      </c>
      <c r="X18" s="23">
        <f t="shared" si="4"/>
        <v>0.94631574600000001</v>
      </c>
      <c r="Y18" s="23">
        <f t="shared" si="5"/>
        <v>0.65707407100000004</v>
      </c>
      <c r="Z18" s="23">
        <f t="shared" si="6"/>
        <v>0.75349339800000004</v>
      </c>
      <c r="AA18" s="23">
        <f t="shared" si="7"/>
        <v>0.90711126200000003</v>
      </c>
      <c r="AB18" s="23">
        <f t="shared" si="8"/>
        <v>0.71823840500000002</v>
      </c>
      <c r="AC18" s="23">
        <f t="shared" si="9"/>
        <v>0.76043269699999994</v>
      </c>
      <c r="AD18" s="23">
        <f>1-L18</f>
        <v>0.74707696600000006</v>
      </c>
      <c r="AE18" s="23">
        <f>1-M18</f>
        <v>0.80663484399999996</v>
      </c>
      <c r="AF18" s="23">
        <f>1-N18</f>
        <v>0.62872170599999999</v>
      </c>
      <c r="AG18" s="23">
        <f>1-O18</f>
        <v>0.65223480300000003</v>
      </c>
      <c r="AH18" s="23">
        <f>1-P18</f>
        <v>0.88263034799999995</v>
      </c>
      <c r="AI18" s="24"/>
    </row>
  </sheetData>
  <mergeCells count="4">
    <mergeCell ref="B1:Q1"/>
    <mergeCell ref="T1:AI1"/>
    <mergeCell ref="A1:A2"/>
    <mergeCell ref="S1:S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1240B-5272-4CAE-A158-6E25FD7E48A6}">
  <dimension ref="A1:C18"/>
  <sheetViews>
    <sheetView workbookViewId="0">
      <selection activeCell="D10" sqref="D10"/>
    </sheetView>
  </sheetViews>
  <sheetFormatPr defaultRowHeight="14.4" x14ac:dyDescent="0.3"/>
  <cols>
    <col min="1" max="1" width="29.5546875" bestFit="1" customWidth="1"/>
    <col min="2" max="2" width="6.5546875" bestFit="1" customWidth="1"/>
    <col min="3" max="3" width="9.33203125" bestFit="1" customWidth="1"/>
  </cols>
  <sheetData>
    <row r="1" spans="1:3" x14ac:dyDescent="0.3">
      <c r="A1" s="26"/>
      <c r="B1" s="79" t="s">
        <v>125</v>
      </c>
      <c r="C1" s="79"/>
    </row>
    <row r="2" spans="1:3" x14ac:dyDescent="0.3">
      <c r="A2" s="26" t="s">
        <v>126</v>
      </c>
      <c r="B2" s="26" t="s">
        <v>127</v>
      </c>
      <c r="C2" s="26" t="s">
        <v>128</v>
      </c>
    </row>
    <row r="3" spans="1:3" x14ac:dyDescent="0.3">
      <c r="A3" s="27" t="s">
        <v>129</v>
      </c>
      <c r="B3" s="27">
        <v>10903</v>
      </c>
      <c r="C3" s="27">
        <v>17.917829999999999</v>
      </c>
    </row>
    <row r="4" spans="1:3" x14ac:dyDescent="0.3">
      <c r="A4" s="27" t="s">
        <v>130</v>
      </c>
      <c r="B4" s="27">
        <v>5598</v>
      </c>
      <c r="C4" s="27">
        <v>9.1996710000000004</v>
      </c>
    </row>
    <row r="5" spans="1:3" x14ac:dyDescent="0.3">
      <c r="A5" s="27" t="s">
        <v>131</v>
      </c>
      <c r="B5" s="27">
        <v>6059</v>
      </c>
      <c r="C5" s="27">
        <v>9.9572719999999997</v>
      </c>
    </row>
    <row r="6" spans="1:3" x14ac:dyDescent="0.3">
      <c r="A6" s="27" t="s">
        <v>103</v>
      </c>
      <c r="B6" s="27">
        <v>3550</v>
      </c>
      <c r="C6" s="27">
        <v>5.8340180000000004</v>
      </c>
    </row>
    <row r="7" spans="1:3" x14ac:dyDescent="0.3">
      <c r="A7" s="27" t="s">
        <v>132</v>
      </c>
      <c r="B7" s="27">
        <v>1096</v>
      </c>
      <c r="C7" s="27">
        <v>1.80115</v>
      </c>
    </row>
    <row r="8" spans="1:3" x14ac:dyDescent="0.3">
      <c r="A8" s="27" t="s">
        <v>106</v>
      </c>
      <c r="B8" s="27">
        <v>632</v>
      </c>
      <c r="C8" s="27">
        <v>1.0386200000000001</v>
      </c>
    </row>
    <row r="9" spans="1:3" x14ac:dyDescent="0.3">
      <c r="A9" s="27" t="s">
        <v>133</v>
      </c>
      <c r="B9" s="27">
        <v>1951</v>
      </c>
      <c r="C9" s="27">
        <v>3.206245</v>
      </c>
    </row>
    <row r="10" spans="1:3" x14ac:dyDescent="0.3">
      <c r="A10" s="27" t="s">
        <v>134</v>
      </c>
      <c r="B10" s="27">
        <v>10492</v>
      </c>
      <c r="C10" s="27">
        <v>17.2424</v>
      </c>
    </row>
    <row r="11" spans="1:3" x14ac:dyDescent="0.3">
      <c r="A11" s="27" t="s">
        <v>135</v>
      </c>
      <c r="B11" s="27">
        <v>8499</v>
      </c>
      <c r="C11" s="27">
        <v>13.967129999999999</v>
      </c>
    </row>
    <row r="12" spans="1:3" x14ac:dyDescent="0.3">
      <c r="A12" s="27" t="s">
        <v>136</v>
      </c>
      <c r="B12" s="27">
        <v>6706</v>
      </c>
      <c r="C12" s="27">
        <v>11.02054</v>
      </c>
    </row>
    <row r="13" spans="1:3" x14ac:dyDescent="0.3">
      <c r="A13" s="27" t="s">
        <v>137</v>
      </c>
      <c r="B13" s="27">
        <v>754</v>
      </c>
      <c r="C13" s="27">
        <v>1.2391129999999999</v>
      </c>
    </row>
    <row r="14" spans="1:3" x14ac:dyDescent="0.3">
      <c r="A14" s="27" t="s">
        <v>138</v>
      </c>
      <c r="B14" s="27">
        <v>60</v>
      </c>
      <c r="C14" s="27">
        <v>9.8602999999999996E-2</v>
      </c>
    </row>
    <row r="15" spans="1:3" x14ac:dyDescent="0.3">
      <c r="A15" s="27" t="s">
        <v>139</v>
      </c>
      <c r="B15" s="27">
        <v>310</v>
      </c>
      <c r="C15" s="27">
        <v>0.50944900000000004</v>
      </c>
    </row>
    <row r="16" spans="1:3" x14ac:dyDescent="0.3">
      <c r="A16" s="27" t="s">
        <v>140</v>
      </c>
      <c r="B16" s="27">
        <v>230</v>
      </c>
      <c r="C16" s="27">
        <v>0.37797900000000001</v>
      </c>
    </row>
    <row r="17" spans="1:3" x14ac:dyDescent="0.3">
      <c r="A17" s="27" t="s">
        <v>141</v>
      </c>
      <c r="B17" s="27">
        <v>193</v>
      </c>
      <c r="C17" s="27">
        <v>0.31717299999999998</v>
      </c>
    </row>
    <row r="18" spans="1:3" x14ac:dyDescent="0.3">
      <c r="A18" s="27" t="s">
        <v>142</v>
      </c>
      <c r="B18" s="27">
        <v>3817</v>
      </c>
      <c r="C18" s="27">
        <v>6.2728020000000004</v>
      </c>
    </row>
  </sheetData>
  <mergeCells count="1">
    <mergeCell ref="B1:C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6D134-ECE0-4112-BF1B-9571AC635F59}">
  <dimension ref="A2:Z39"/>
  <sheetViews>
    <sheetView topLeftCell="M1" zoomScale="115" zoomScaleNormal="115" workbookViewId="0">
      <selection activeCell="O4" sqref="O4"/>
    </sheetView>
  </sheetViews>
  <sheetFormatPr defaultRowHeight="14.4" x14ac:dyDescent="0.3"/>
  <cols>
    <col min="1" max="1" width="20.5546875" customWidth="1"/>
    <col min="2" max="4" width="6" style="6" customWidth="1"/>
    <col min="5" max="5" width="6" style="10" customWidth="1"/>
    <col min="6" max="7" width="6" customWidth="1"/>
    <col min="8" max="8" width="41.33203125" bestFit="1" customWidth="1"/>
    <col min="9" max="9" width="11.5546875" bestFit="1" customWidth="1"/>
    <col min="10" max="10" width="8.5546875" bestFit="1" customWidth="1"/>
    <col min="11" max="11" width="9.109375" bestFit="1" customWidth="1"/>
    <col min="12" max="12" width="6" customWidth="1"/>
    <col min="14" max="14" width="18.44140625" bestFit="1" customWidth="1"/>
    <col min="15" max="16" width="6.33203125" bestFit="1" customWidth="1"/>
    <col min="17" max="17" width="7.77734375" bestFit="1" customWidth="1"/>
    <col min="18" max="22" width="6.21875" bestFit="1" customWidth="1"/>
    <col min="23" max="24" width="6.33203125" bestFit="1" customWidth="1"/>
    <col min="25" max="25" width="6.21875" bestFit="1" customWidth="1"/>
    <col min="26" max="26" width="9" bestFit="1" customWidth="1"/>
  </cols>
  <sheetData>
    <row r="2" spans="1:26" ht="15" thickBot="1" x14ac:dyDescent="0.35">
      <c r="A2" s="63" t="s">
        <v>161</v>
      </c>
      <c r="B2" s="64" t="s">
        <v>158</v>
      </c>
      <c r="C2" s="64" t="s">
        <v>221</v>
      </c>
      <c r="D2" s="64" t="s">
        <v>160</v>
      </c>
      <c r="E2" s="64" t="s">
        <v>230</v>
      </c>
      <c r="F2" s="63" t="s">
        <v>225</v>
      </c>
      <c r="H2" s="83" t="s">
        <v>254</v>
      </c>
      <c r="I2" s="83"/>
      <c r="J2" s="83"/>
      <c r="K2" s="83"/>
      <c r="N2" s="85" t="s">
        <v>272</v>
      </c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spans="1:26" ht="15" thickTop="1" x14ac:dyDescent="0.3">
      <c r="A3" t="s">
        <v>228</v>
      </c>
      <c r="B3" s="6">
        <v>1</v>
      </c>
      <c r="C3" s="6">
        <v>57.954000000000001</v>
      </c>
      <c r="D3" s="6">
        <v>5.0069999999999997</v>
      </c>
      <c r="E3" s="10">
        <v>1E-3</v>
      </c>
      <c r="F3" t="s">
        <v>224</v>
      </c>
      <c r="H3" s="65" t="s">
        <v>253</v>
      </c>
      <c r="I3" s="64" t="s">
        <v>242</v>
      </c>
      <c r="J3" s="64" t="s">
        <v>243</v>
      </c>
      <c r="K3" s="64" t="s">
        <v>244</v>
      </c>
      <c r="O3" s="80" t="s">
        <v>253</v>
      </c>
      <c r="P3" s="80"/>
      <c r="Q3" s="80"/>
      <c r="R3" s="80"/>
      <c r="S3" s="80"/>
      <c r="T3" s="80"/>
      <c r="U3" s="80"/>
      <c r="V3" s="80"/>
      <c r="W3" s="80"/>
      <c r="X3" s="80"/>
      <c r="Y3" s="80"/>
    </row>
    <row r="4" spans="1:26" x14ac:dyDescent="0.3">
      <c r="A4" t="s">
        <v>165</v>
      </c>
      <c r="B4" s="6">
        <v>1</v>
      </c>
      <c r="C4" s="6">
        <v>55.75</v>
      </c>
      <c r="D4" s="6">
        <v>3.2046999999999999</v>
      </c>
      <c r="E4" s="10">
        <v>0.01</v>
      </c>
      <c r="F4" t="s">
        <v>223</v>
      </c>
      <c r="H4" s="10" t="s">
        <v>247</v>
      </c>
      <c r="I4" s="6" t="s">
        <v>245</v>
      </c>
      <c r="J4" s="6" t="s">
        <v>222</v>
      </c>
      <c r="K4" s="10"/>
      <c r="N4" s="67" t="s">
        <v>269</v>
      </c>
      <c r="O4" s="64" t="s">
        <v>245</v>
      </c>
      <c r="P4" s="61" t="s">
        <v>246</v>
      </c>
      <c r="Q4" s="61" t="s">
        <v>255</v>
      </c>
      <c r="R4" s="64" t="s">
        <v>256</v>
      </c>
      <c r="S4" s="61" t="s">
        <v>261</v>
      </c>
      <c r="T4" s="61" t="s">
        <v>260</v>
      </c>
      <c r="U4" s="64" t="s">
        <v>262</v>
      </c>
      <c r="V4" s="64" t="s">
        <v>257</v>
      </c>
      <c r="W4" s="64" t="s">
        <v>258</v>
      </c>
      <c r="X4" s="64" t="s">
        <v>259</v>
      </c>
      <c r="Y4" s="61" t="s">
        <v>177</v>
      </c>
      <c r="Z4" s="64" t="s">
        <v>273</v>
      </c>
    </row>
    <row r="5" spans="1:26" x14ac:dyDescent="0.3">
      <c r="A5" t="s">
        <v>226</v>
      </c>
      <c r="B5" s="6">
        <v>1</v>
      </c>
      <c r="C5" s="6">
        <v>55.726999999999997</v>
      </c>
      <c r="D5" s="6">
        <v>3.1867999999999999</v>
      </c>
      <c r="E5" s="10">
        <v>1.9E-2</v>
      </c>
      <c r="F5" t="s">
        <v>222</v>
      </c>
      <c r="H5" s="10" t="s">
        <v>248</v>
      </c>
      <c r="I5" s="6" t="s">
        <v>246</v>
      </c>
      <c r="J5" s="6" t="s">
        <v>222</v>
      </c>
      <c r="K5" s="10"/>
      <c r="N5" s="30" t="s">
        <v>215</v>
      </c>
      <c r="O5" s="69">
        <v>1.8E-3</v>
      </c>
      <c r="P5" s="69">
        <v>2.1850000000000001E-2</v>
      </c>
      <c r="Q5" s="66">
        <v>0.97829999999999995</v>
      </c>
      <c r="R5" s="66">
        <v>0.26429999999999998</v>
      </c>
      <c r="S5" s="66">
        <v>0.8306</v>
      </c>
      <c r="T5" s="66">
        <v>0.25559999999999999</v>
      </c>
      <c r="U5" s="66">
        <v>0.1196</v>
      </c>
      <c r="V5" s="66">
        <v>0.86119999999999997</v>
      </c>
      <c r="W5" s="66">
        <v>0.65859999999999996</v>
      </c>
      <c r="X5" s="69">
        <v>3.117E-2</v>
      </c>
      <c r="Y5" s="66">
        <v>0.92090000000000005</v>
      </c>
      <c r="Z5" t="s">
        <v>270</v>
      </c>
    </row>
    <row r="6" spans="1:26" x14ac:dyDescent="0.3">
      <c r="A6" t="s">
        <v>163</v>
      </c>
      <c r="B6" s="6">
        <v>1</v>
      </c>
      <c r="C6" s="6">
        <v>54.970999999999997</v>
      </c>
      <c r="D6" s="6">
        <v>2.6246</v>
      </c>
      <c r="E6" s="10">
        <v>3.4000000000000002E-2</v>
      </c>
      <c r="F6" t="s">
        <v>222</v>
      </c>
      <c r="H6" s="10" t="s">
        <v>263</v>
      </c>
      <c r="I6" s="6" t="s">
        <v>255</v>
      </c>
      <c r="J6" s="6"/>
      <c r="K6" s="10" t="s">
        <v>222</v>
      </c>
      <c r="N6" s="30" t="s">
        <v>188</v>
      </c>
      <c r="O6" s="71">
        <v>5.8999999999999997E-2</v>
      </c>
      <c r="P6" s="66">
        <v>0.45600000000000002</v>
      </c>
      <c r="Q6" s="66">
        <v>0.27900000000000003</v>
      </c>
      <c r="R6" s="66">
        <v>0.92500000000000004</v>
      </c>
      <c r="S6" s="66">
        <v>0.33950000000000002</v>
      </c>
      <c r="T6" s="66">
        <v>0.5292</v>
      </c>
      <c r="U6" s="66">
        <v>0.88200000000000001</v>
      </c>
      <c r="V6" s="66">
        <v>0.4929</v>
      </c>
      <c r="W6" s="69">
        <v>1.865E-2</v>
      </c>
      <c r="X6" s="69">
        <v>1.1390000000000001E-2</v>
      </c>
      <c r="Y6" s="66">
        <v>0.45600000000000002</v>
      </c>
      <c r="Z6" t="s">
        <v>270</v>
      </c>
    </row>
    <row r="7" spans="1:26" x14ac:dyDescent="0.3">
      <c r="A7" t="s">
        <v>227</v>
      </c>
      <c r="B7" s="6">
        <v>1</v>
      </c>
      <c r="C7" s="6">
        <v>55.198999999999998</v>
      </c>
      <c r="D7" s="6">
        <v>2.7915999999999999</v>
      </c>
      <c r="E7" s="10">
        <v>3.5000000000000003E-2</v>
      </c>
      <c r="F7" t="s">
        <v>222</v>
      </c>
      <c r="H7" s="10" t="s">
        <v>264</v>
      </c>
      <c r="I7" s="6" t="s">
        <v>256</v>
      </c>
      <c r="J7" s="6"/>
      <c r="K7" s="10" t="s">
        <v>222</v>
      </c>
      <c r="N7" t="s">
        <v>178</v>
      </c>
      <c r="O7" s="66">
        <v>0.94840000000000002</v>
      </c>
      <c r="P7" s="66">
        <v>0.63349999999999995</v>
      </c>
      <c r="Q7" s="6">
        <v>0.76170000000000004</v>
      </c>
      <c r="R7" s="66">
        <v>0.55669999999999997</v>
      </c>
      <c r="S7" s="66">
        <v>0.53590000000000004</v>
      </c>
      <c r="T7" s="66">
        <v>0.79779999999999995</v>
      </c>
      <c r="U7" s="66">
        <v>0.7621</v>
      </c>
      <c r="V7" s="66">
        <v>0.59570000000000001</v>
      </c>
      <c r="W7" s="66">
        <v>0.73370000000000002</v>
      </c>
      <c r="X7" s="66">
        <v>0.73580000000000001</v>
      </c>
      <c r="Y7" s="66">
        <v>0.65639999999999998</v>
      </c>
      <c r="Z7" t="s">
        <v>271</v>
      </c>
    </row>
    <row r="8" spans="1:26" x14ac:dyDescent="0.3">
      <c r="A8" t="s">
        <v>144</v>
      </c>
      <c r="B8" s="6">
        <v>1</v>
      </c>
      <c r="C8" s="6">
        <v>54.865000000000002</v>
      </c>
      <c r="D8" s="6">
        <v>2.5478000000000001</v>
      </c>
      <c r="E8" s="10">
        <v>3.9E-2</v>
      </c>
      <c r="F8" t="s">
        <v>222</v>
      </c>
      <c r="H8" s="10" t="s">
        <v>265</v>
      </c>
      <c r="I8" s="6" t="s">
        <v>257</v>
      </c>
      <c r="J8" s="6" t="s">
        <v>222</v>
      </c>
      <c r="K8" s="10"/>
      <c r="N8" t="s">
        <v>209</v>
      </c>
      <c r="O8" s="66">
        <v>0.80889999999999995</v>
      </c>
      <c r="P8" s="66">
        <v>0.81479999999999997</v>
      </c>
      <c r="Q8" s="66">
        <v>0.90720000000000001</v>
      </c>
      <c r="R8" s="66">
        <v>0.99250000000000005</v>
      </c>
      <c r="S8" s="66">
        <v>0.76080000000000003</v>
      </c>
      <c r="T8" s="66">
        <v>0.83730000000000004</v>
      </c>
      <c r="U8" s="66">
        <v>0.99890000000000001</v>
      </c>
      <c r="V8" s="66">
        <v>0.34229999999999999</v>
      </c>
      <c r="W8" s="66">
        <v>0.93630000000000002</v>
      </c>
      <c r="X8" s="66">
        <v>0.70879999999999999</v>
      </c>
      <c r="Y8" s="66">
        <v>0.77280000000000004</v>
      </c>
      <c r="Z8" t="s">
        <v>271</v>
      </c>
    </row>
    <row r="9" spans="1:26" x14ac:dyDescent="0.3">
      <c r="A9" t="s">
        <v>166</v>
      </c>
      <c r="B9" s="6">
        <v>1</v>
      </c>
      <c r="C9" s="6">
        <v>52.534999999999997</v>
      </c>
      <c r="D9" s="6">
        <v>1.2605999999999999</v>
      </c>
      <c r="E9" s="10">
        <v>0.27300000000000002</v>
      </c>
      <c r="F9" t="s">
        <v>216</v>
      </c>
      <c r="H9" s="10" t="s">
        <v>266</v>
      </c>
      <c r="I9" s="6" t="s">
        <v>258</v>
      </c>
      <c r="J9" s="6" t="s">
        <v>222</v>
      </c>
      <c r="K9" s="10"/>
      <c r="N9" s="30" t="s">
        <v>211</v>
      </c>
      <c r="O9" s="66">
        <v>0.1656</v>
      </c>
      <c r="P9" s="66">
        <v>0.2021</v>
      </c>
      <c r="Q9" s="66">
        <v>0.48380000000000001</v>
      </c>
      <c r="R9" s="66">
        <v>0.15920000000000001</v>
      </c>
      <c r="S9" s="66">
        <v>0.17610000000000001</v>
      </c>
      <c r="T9" s="66">
        <v>0.34310000000000002</v>
      </c>
      <c r="U9" s="66">
        <v>0.1138</v>
      </c>
      <c r="V9" s="66">
        <v>0.89200000000000002</v>
      </c>
      <c r="W9" s="66">
        <v>0.1009</v>
      </c>
      <c r="X9" s="66">
        <v>0.90080000000000005</v>
      </c>
      <c r="Y9" s="66">
        <v>0.69699999999999995</v>
      </c>
      <c r="Z9" t="s">
        <v>271</v>
      </c>
    </row>
    <row r="10" spans="1:26" x14ac:dyDescent="0.3">
      <c r="A10" t="s">
        <v>171</v>
      </c>
      <c r="B10" s="6">
        <v>1</v>
      </c>
      <c r="C10" s="6">
        <v>52.981000000000002</v>
      </c>
      <c r="D10" s="6">
        <v>1.0063</v>
      </c>
      <c r="E10" s="10">
        <v>0.44400000000000001</v>
      </c>
      <c r="F10" t="s">
        <v>216</v>
      </c>
      <c r="H10" s="10" t="s">
        <v>267</v>
      </c>
      <c r="I10" s="6" t="s">
        <v>259</v>
      </c>
      <c r="J10" s="6" t="s">
        <v>222</v>
      </c>
      <c r="K10" s="10"/>
      <c r="N10" t="s">
        <v>206</v>
      </c>
      <c r="O10" s="66">
        <v>0.97629999999999995</v>
      </c>
      <c r="P10" s="66">
        <v>0.93169999999999997</v>
      </c>
      <c r="Q10" s="66">
        <v>0.41949999999999998</v>
      </c>
      <c r="R10" s="66">
        <v>0.7661</v>
      </c>
      <c r="S10" s="66">
        <v>0.92030000000000001</v>
      </c>
      <c r="T10" s="66">
        <v>0.91990000000000005</v>
      </c>
      <c r="U10" s="66">
        <v>0.88870000000000005</v>
      </c>
      <c r="V10" s="66">
        <v>0.79059999999999997</v>
      </c>
      <c r="W10" s="66">
        <v>0.94599999999999995</v>
      </c>
      <c r="X10" s="66">
        <v>0.57530000000000003</v>
      </c>
      <c r="Y10" s="66">
        <v>0.63819999999999999</v>
      </c>
      <c r="Z10" t="s">
        <v>271</v>
      </c>
    </row>
    <row r="11" spans="1:26" x14ac:dyDescent="0.3">
      <c r="A11" t="s">
        <v>229</v>
      </c>
      <c r="B11" s="6">
        <v>1</v>
      </c>
      <c r="C11" s="6">
        <v>53.122</v>
      </c>
      <c r="D11" s="6">
        <v>0.92710000000000004</v>
      </c>
      <c r="E11" s="10">
        <v>0.46800000000000003</v>
      </c>
      <c r="F11" t="s">
        <v>216</v>
      </c>
      <c r="H11" s="10" t="s">
        <v>250</v>
      </c>
      <c r="I11" s="6" t="s">
        <v>261</v>
      </c>
      <c r="J11" s="6"/>
      <c r="K11" s="10" t="s">
        <v>222</v>
      </c>
      <c r="N11" s="30" t="s">
        <v>212</v>
      </c>
      <c r="O11" s="66">
        <v>0.88549999999999995</v>
      </c>
      <c r="P11" s="66">
        <v>0.82509999999999994</v>
      </c>
      <c r="Q11" s="66">
        <v>0.86329999999999996</v>
      </c>
      <c r="R11" s="66">
        <v>0.62129999999999996</v>
      </c>
      <c r="S11" s="66">
        <v>0.70589999999999997</v>
      </c>
      <c r="T11" s="66">
        <v>0.90359999999999996</v>
      </c>
      <c r="U11" s="66">
        <v>0.67110000000000003</v>
      </c>
      <c r="V11" s="66">
        <v>0.48120000000000002</v>
      </c>
      <c r="W11" s="66">
        <v>0.49740000000000001</v>
      </c>
      <c r="X11" s="66">
        <v>0.53680000000000005</v>
      </c>
      <c r="Y11" s="66">
        <v>0.68979999999999997</v>
      </c>
      <c r="Z11" t="s">
        <v>271</v>
      </c>
    </row>
    <row r="12" spans="1:26" x14ac:dyDescent="0.3">
      <c r="A12" t="s">
        <v>164</v>
      </c>
      <c r="B12" s="6">
        <v>1</v>
      </c>
      <c r="C12" s="6">
        <v>53.643000000000001</v>
      </c>
      <c r="D12" s="6">
        <v>0.64090000000000003</v>
      </c>
      <c r="E12" s="10">
        <v>0.73699999999999999</v>
      </c>
      <c r="F12" t="s">
        <v>216</v>
      </c>
      <c r="H12" s="10" t="s">
        <v>251</v>
      </c>
      <c r="I12" s="6" t="s">
        <v>260</v>
      </c>
      <c r="J12" s="6"/>
      <c r="K12" s="10" t="s">
        <v>222</v>
      </c>
      <c r="N12" t="s">
        <v>213</v>
      </c>
      <c r="O12" s="66">
        <v>0.26240000000000002</v>
      </c>
      <c r="P12" s="66">
        <v>0.46179999999999999</v>
      </c>
      <c r="Q12" s="66">
        <v>0.91269999999999996</v>
      </c>
      <c r="R12" s="66">
        <v>0.86850000000000005</v>
      </c>
      <c r="S12" s="66">
        <v>0.69920000000000004</v>
      </c>
      <c r="T12" s="66">
        <v>0.90059999999999996</v>
      </c>
      <c r="U12" s="66">
        <v>0.72350000000000003</v>
      </c>
      <c r="V12" s="66">
        <v>0.36570000000000003</v>
      </c>
      <c r="W12" s="66">
        <v>0.60370000000000001</v>
      </c>
      <c r="X12" s="66">
        <v>0.4274</v>
      </c>
      <c r="Y12" s="66">
        <v>0.94410000000000005</v>
      </c>
      <c r="Z12" t="s">
        <v>271</v>
      </c>
    </row>
    <row r="13" spans="1:26" x14ac:dyDescent="0.3">
      <c r="A13" s="60" t="s">
        <v>170</v>
      </c>
      <c r="B13" s="61">
        <v>1</v>
      </c>
      <c r="C13" s="61">
        <v>53.887</v>
      </c>
      <c r="D13" s="61">
        <v>0.51039999999999996</v>
      </c>
      <c r="E13" s="62">
        <v>0.87</v>
      </c>
      <c r="F13" s="60" t="s">
        <v>216</v>
      </c>
      <c r="H13" s="10" t="s">
        <v>249</v>
      </c>
      <c r="I13" s="6" t="s">
        <v>177</v>
      </c>
      <c r="J13" s="6"/>
      <c r="K13" s="10" t="s">
        <v>222</v>
      </c>
      <c r="N13" t="s">
        <v>214</v>
      </c>
      <c r="O13" s="66">
        <v>0.34360000000000002</v>
      </c>
      <c r="P13" s="66">
        <v>0.26619999999999999</v>
      </c>
      <c r="Q13" s="66">
        <v>0.996</v>
      </c>
      <c r="R13" s="66">
        <v>0.50780000000000003</v>
      </c>
      <c r="S13" s="66">
        <v>0.79420000000000002</v>
      </c>
      <c r="T13" s="66">
        <v>0.66749999999999998</v>
      </c>
      <c r="U13" s="66">
        <v>0.54530000000000001</v>
      </c>
      <c r="V13" s="66">
        <v>0.81040000000000001</v>
      </c>
      <c r="W13" s="66">
        <v>0.78739999999999999</v>
      </c>
      <c r="X13" s="66">
        <v>0.55049999999999999</v>
      </c>
      <c r="Y13" s="66">
        <v>0.63539999999999996</v>
      </c>
      <c r="Z13" t="s">
        <v>271</v>
      </c>
    </row>
    <row r="14" spans="1:26" x14ac:dyDescent="0.3">
      <c r="H14" s="62" t="s">
        <v>252</v>
      </c>
      <c r="I14" s="61" t="s">
        <v>262</v>
      </c>
      <c r="J14" s="61"/>
      <c r="K14" s="62" t="s">
        <v>222</v>
      </c>
      <c r="N14" s="63" t="s">
        <v>66</v>
      </c>
      <c r="O14" s="70">
        <v>2.1199999999999999E-3</v>
      </c>
      <c r="P14" s="70">
        <v>2.4289999999999999E-2</v>
      </c>
      <c r="Q14" s="68">
        <v>0.3458</v>
      </c>
      <c r="R14" s="68">
        <v>0.89229999999999998</v>
      </c>
      <c r="S14" s="68">
        <v>0.46529999999999999</v>
      </c>
      <c r="T14" s="68">
        <v>0.43730000000000002</v>
      </c>
      <c r="U14" s="68">
        <v>0.64549999999999996</v>
      </c>
      <c r="V14" s="68">
        <v>0.36330000000000001</v>
      </c>
      <c r="W14" s="70">
        <v>2.741E-2</v>
      </c>
      <c r="X14" s="68">
        <v>0.18440000000000001</v>
      </c>
      <c r="Y14" s="68">
        <v>0.77410000000000001</v>
      </c>
      <c r="Z14" s="60" t="s">
        <v>271</v>
      </c>
    </row>
    <row r="15" spans="1:26" x14ac:dyDescent="0.3">
      <c r="H15" s="84" t="s">
        <v>268</v>
      </c>
      <c r="I15" s="84"/>
      <c r="J15" s="84"/>
      <c r="K15" s="84"/>
      <c r="O15" s="6"/>
      <c r="P15" s="6"/>
      <c r="Q15" s="6"/>
      <c r="R15" s="10"/>
    </row>
    <row r="17" spans="5:5" x14ac:dyDescent="0.3">
      <c r="E17"/>
    </row>
    <row r="30" spans="5:5" x14ac:dyDescent="0.3">
      <c r="E30"/>
    </row>
    <row r="33" spans="1:3" x14ac:dyDescent="0.3">
      <c r="A33" s="82" t="s">
        <v>241</v>
      </c>
      <c r="B33" s="82"/>
      <c r="C33" s="82"/>
    </row>
    <row r="34" spans="1:3" x14ac:dyDescent="0.3">
      <c r="B34" s="81" t="s">
        <v>235</v>
      </c>
      <c r="C34" s="81"/>
    </row>
    <row r="35" spans="1:3" x14ac:dyDescent="0.3">
      <c r="A35" s="13" t="s">
        <v>234</v>
      </c>
      <c r="B35" s="6" t="s">
        <v>232</v>
      </c>
      <c r="C35" s="6" t="s">
        <v>233</v>
      </c>
    </row>
    <row r="36" spans="1:3" x14ac:dyDescent="0.3">
      <c r="A36" t="s">
        <v>232</v>
      </c>
      <c r="B36" t="s">
        <v>240</v>
      </c>
      <c r="C36" t="s">
        <v>236</v>
      </c>
    </row>
    <row r="37" spans="1:3" x14ac:dyDescent="0.3">
      <c r="A37" t="s">
        <v>233</v>
      </c>
      <c r="B37" t="s">
        <v>237</v>
      </c>
      <c r="C37" t="s">
        <v>238</v>
      </c>
    </row>
    <row r="38" spans="1:3" x14ac:dyDescent="0.3">
      <c r="A38" t="s">
        <v>231</v>
      </c>
      <c r="B38" t="s">
        <v>239</v>
      </c>
      <c r="C38" t="s">
        <v>240</v>
      </c>
    </row>
    <row r="39" spans="1:3" x14ac:dyDescent="0.3">
      <c r="B39"/>
      <c r="C39"/>
    </row>
  </sheetData>
  <sortState xmlns:xlrd2="http://schemas.microsoft.com/office/spreadsheetml/2017/richdata2" ref="N5:Z6">
    <sortCondition ref="N5:N6"/>
  </sortState>
  <mergeCells count="6">
    <mergeCell ref="O3:Y3"/>
    <mergeCell ref="B34:C34"/>
    <mergeCell ref="A33:C33"/>
    <mergeCell ref="H2:K2"/>
    <mergeCell ref="H15:K15"/>
    <mergeCell ref="N2:Z2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59DCB-34DB-4D9A-9F29-AF4B57652E79}">
  <dimension ref="A1:R34"/>
  <sheetViews>
    <sheetView zoomScale="55" zoomScaleNormal="55" workbookViewId="0">
      <selection activeCell="B21" sqref="B21"/>
    </sheetView>
  </sheetViews>
  <sheetFormatPr defaultRowHeight="14.4" x14ac:dyDescent="0.3"/>
  <cols>
    <col min="1" max="1" width="5.33203125" bestFit="1" customWidth="1"/>
    <col min="2" max="2" width="20.88671875" customWidth="1"/>
    <col min="3" max="3" width="8.33203125" bestFit="1" customWidth="1"/>
    <col min="4" max="4" width="10.77734375" bestFit="1" customWidth="1"/>
    <col min="5" max="5" width="8.33203125" customWidth="1"/>
    <col min="6" max="6" width="9.6640625" customWidth="1"/>
    <col min="7" max="7" width="10.21875" bestFit="1" customWidth="1"/>
    <col min="8" max="8" width="11.33203125" customWidth="1"/>
    <col min="9" max="9" width="11" bestFit="1" customWidth="1"/>
    <col min="10" max="10" width="9.6640625" customWidth="1"/>
    <col min="11" max="11" width="10.88671875" customWidth="1"/>
    <col min="12" max="12" width="11.5546875" customWidth="1"/>
    <col min="13" max="13" width="9.5546875" bestFit="1" customWidth="1"/>
    <col min="14" max="18" width="10.21875" customWidth="1"/>
  </cols>
  <sheetData>
    <row r="1" spans="1:18" x14ac:dyDescent="0.3">
      <c r="A1" s="86" t="s">
        <v>217</v>
      </c>
      <c r="B1" s="86"/>
      <c r="C1" s="7" t="s">
        <v>218</v>
      </c>
      <c r="D1" s="7" t="s">
        <v>218</v>
      </c>
      <c r="E1" s="7" t="s">
        <v>218</v>
      </c>
      <c r="F1" s="7" t="s">
        <v>218</v>
      </c>
      <c r="G1" s="7" t="s">
        <v>218</v>
      </c>
      <c r="H1" s="7" t="s">
        <v>218</v>
      </c>
      <c r="I1" s="7" t="s">
        <v>218</v>
      </c>
      <c r="J1" s="7" t="s">
        <v>220</v>
      </c>
      <c r="K1" s="7" t="s">
        <v>220</v>
      </c>
      <c r="L1" s="7" t="s">
        <v>220</v>
      </c>
      <c r="M1" s="7" t="s">
        <v>220</v>
      </c>
    </row>
    <row r="2" spans="1:18" ht="45" customHeight="1" x14ac:dyDescent="0.3">
      <c r="A2" s="86"/>
      <c r="B2" s="86"/>
      <c r="C2" s="53" t="s">
        <v>144</v>
      </c>
      <c r="D2" s="53" t="s">
        <v>154</v>
      </c>
      <c r="E2" s="53" t="s">
        <v>146</v>
      </c>
      <c r="F2" s="53" t="s">
        <v>147</v>
      </c>
      <c r="G2" s="53" t="s">
        <v>145</v>
      </c>
      <c r="H2" s="53" t="s">
        <v>153</v>
      </c>
      <c r="I2" s="53" t="s">
        <v>156</v>
      </c>
      <c r="J2" s="53" t="s">
        <v>150</v>
      </c>
      <c r="K2" s="53" t="s">
        <v>151</v>
      </c>
      <c r="L2" s="53" t="s">
        <v>152</v>
      </c>
      <c r="M2" s="53" t="s">
        <v>155</v>
      </c>
      <c r="N2" s="7"/>
      <c r="O2" s="7"/>
      <c r="P2" s="7"/>
      <c r="Q2" s="7"/>
      <c r="R2" s="7"/>
    </row>
    <row r="3" spans="1:18" x14ac:dyDescent="0.3">
      <c r="A3" s="6" t="s">
        <v>218</v>
      </c>
      <c r="B3" s="54" t="s">
        <v>188</v>
      </c>
      <c r="C3" s="56" t="s">
        <v>216</v>
      </c>
      <c r="D3" s="7"/>
      <c r="E3" s="7"/>
      <c r="F3" s="7"/>
      <c r="G3" s="7"/>
      <c r="H3" s="7"/>
      <c r="I3" s="7"/>
      <c r="J3" s="7"/>
      <c r="K3" s="7"/>
      <c r="L3" s="7"/>
      <c r="M3" s="7"/>
      <c r="N3" s="33"/>
      <c r="O3" s="33"/>
      <c r="P3" s="33"/>
      <c r="Q3" s="33"/>
      <c r="R3" s="33"/>
    </row>
    <row r="4" spans="1:18" ht="15" customHeight="1" x14ac:dyDescent="0.3">
      <c r="A4" s="7" t="s">
        <v>218</v>
      </c>
      <c r="B4" s="55" t="s">
        <v>204</v>
      </c>
      <c r="C4" s="56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1:18" x14ac:dyDescent="0.3">
      <c r="A5" s="7" t="s">
        <v>218</v>
      </c>
      <c r="B5" s="55" t="s">
        <v>215</v>
      </c>
      <c r="C5" s="56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8" x14ac:dyDescent="0.3">
      <c r="A6" s="7" t="s">
        <v>220</v>
      </c>
      <c r="B6" s="55" t="s">
        <v>205</v>
      </c>
      <c r="C6" s="56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18" x14ac:dyDescent="0.3">
      <c r="A7" s="7" t="s">
        <v>220</v>
      </c>
      <c r="B7" s="55" t="s">
        <v>178</v>
      </c>
      <c r="C7" s="56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</row>
    <row r="8" spans="1:18" x14ac:dyDescent="0.3">
      <c r="A8" s="7" t="s">
        <v>220</v>
      </c>
      <c r="B8" s="55" t="s">
        <v>206</v>
      </c>
      <c r="C8" s="56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</row>
    <row r="9" spans="1:18" x14ac:dyDescent="0.3">
      <c r="A9" s="7" t="s">
        <v>220</v>
      </c>
      <c r="B9" s="55" t="s">
        <v>211</v>
      </c>
      <c r="C9" s="56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</row>
    <row r="10" spans="1:18" x14ac:dyDescent="0.3">
      <c r="A10" s="7" t="s">
        <v>219</v>
      </c>
      <c r="B10" s="55" t="s">
        <v>66</v>
      </c>
      <c r="C10" s="5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1:18" x14ac:dyDescent="0.3">
      <c r="A11" s="7" t="s">
        <v>219</v>
      </c>
      <c r="B11" s="57" t="s">
        <v>207</v>
      </c>
      <c r="C11" s="5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18" x14ac:dyDescent="0.3">
      <c r="A12" s="7" t="s">
        <v>219</v>
      </c>
      <c r="B12" s="57" t="s">
        <v>208</v>
      </c>
      <c r="C12" s="56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</row>
    <row r="13" spans="1:18" x14ac:dyDescent="0.3">
      <c r="A13" s="7" t="s">
        <v>219</v>
      </c>
      <c r="B13" s="55" t="s">
        <v>209</v>
      </c>
      <c r="C13" s="56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</row>
    <row r="14" spans="1:18" x14ac:dyDescent="0.3">
      <c r="A14" s="7" t="s">
        <v>219</v>
      </c>
      <c r="B14" s="55" t="s">
        <v>210</v>
      </c>
      <c r="C14" s="56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</row>
    <row r="15" spans="1:18" x14ac:dyDescent="0.3">
      <c r="A15" s="7" t="s">
        <v>219</v>
      </c>
      <c r="B15" s="55" t="s">
        <v>212</v>
      </c>
      <c r="C15" s="56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</row>
    <row r="16" spans="1:18" x14ac:dyDescent="0.3">
      <c r="A16" s="7" t="s">
        <v>219</v>
      </c>
      <c r="B16" s="55" t="s">
        <v>213</v>
      </c>
      <c r="C16" s="56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</row>
    <row r="17" spans="1:18" x14ac:dyDescent="0.3">
      <c r="A17" s="7" t="s">
        <v>219</v>
      </c>
      <c r="B17" s="55" t="s">
        <v>214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</row>
    <row r="20" spans="1:18" x14ac:dyDescent="0.3">
      <c r="A20" s="7"/>
      <c r="B20" s="51"/>
    </row>
    <row r="21" spans="1:18" x14ac:dyDescent="0.3">
      <c r="A21" s="7"/>
      <c r="B21" s="51"/>
    </row>
    <row r="22" spans="1:18" x14ac:dyDescent="0.3">
      <c r="A22" s="7"/>
      <c r="B22" s="51"/>
    </row>
    <row r="23" spans="1:18" x14ac:dyDescent="0.3">
      <c r="A23" s="7"/>
      <c r="B23" s="51"/>
    </row>
    <row r="24" spans="1:18" x14ac:dyDescent="0.3">
      <c r="A24" s="7"/>
      <c r="B24" s="51"/>
    </row>
    <row r="25" spans="1:18" x14ac:dyDescent="0.3">
      <c r="A25" s="7"/>
      <c r="B25" s="51"/>
    </row>
    <row r="26" spans="1:18" x14ac:dyDescent="0.3">
      <c r="A26" s="7"/>
      <c r="B26" s="30"/>
    </row>
    <row r="27" spans="1:18" x14ac:dyDescent="0.3">
      <c r="A27" s="7"/>
      <c r="B27" s="51"/>
    </row>
    <row r="28" spans="1:18" x14ac:dyDescent="0.3">
      <c r="A28" s="7"/>
      <c r="B28" s="51"/>
    </row>
    <row r="29" spans="1:18" x14ac:dyDescent="0.3">
      <c r="A29" s="7"/>
      <c r="B29" s="51"/>
    </row>
    <row r="30" spans="1:18" x14ac:dyDescent="0.3">
      <c r="A30" s="7"/>
      <c r="B30" s="30"/>
    </row>
    <row r="32" spans="1:18" x14ac:dyDescent="0.3">
      <c r="B32" s="51"/>
    </row>
    <row r="33" spans="2:2" x14ac:dyDescent="0.3">
      <c r="B33" s="52"/>
    </row>
    <row r="34" spans="2:2" x14ac:dyDescent="0.3">
      <c r="B34" s="52"/>
    </row>
  </sheetData>
  <mergeCells count="1">
    <mergeCell ref="A1:B2"/>
  </mergeCells>
  <pageMargins left="0.7" right="0.7" top="0.75" bottom="0.75" header="0.3" footer="0.3"/>
  <pageSetup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91EB7-D5CC-4A46-896C-8719A67BA760}">
  <dimension ref="A1:Q52"/>
  <sheetViews>
    <sheetView zoomScale="85" zoomScaleNormal="85" workbookViewId="0">
      <selection activeCell="Q52" sqref="A1:Q52"/>
    </sheetView>
  </sheetViews>
  <sheetFormatPr defaultRowHeight="14.4" x14ac:dyDescent="0.3"/>
  <sheetData>
    <row r="1" spans="1:17" x14ac:dyDescent="0.3">
      <c r="A1" s="29" t="s">
        <v>143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103</v>
      </c>
      <c r="G1" s="28" t="s">
        <v>104</v>
      </c>
      <c r="H1" s="28" t="s">
        <v>5</v>
      </c>
      <c r="I1" s="28" t="s">
        <v>6</v>
      </c>
      <c r="J1" s="28" t="s">
        <v>7</v>
      </c>
      <c r="K1" s="28" t="s">
        <v>8</v>
      </c>
      <c r="L1" s="28" t="s">
        <v>9</v>
      </c>
      <c r="M1" s="28" t="s">
        <v>10</v>
      </c>
      <c r="N1" s="28" t="s">
        <v>11</v>
      </c>
      <c r="O1" s="28" t="s">
        <v>12</v>
      </c>
      <c r="P1" s="28" t="s">
        <v>13</v>
      </c>
      <c r="Q1" s="28" t="s">
        <v>14</v>
      </c>
    </row>
    <row r="2" spans="1:17" x14ac:dyDescent="0.3">
      <c r="A2" t="s">
        <v>57</v>
      </c>
      <c r="B2" s="7">
        <v>47</v>
      </c>
      <c r="C2" s="7">
        <v>24</v>
      </c>
      <c r="D2" s="7">
        <v>238</v>
      </c>
      <c r="E2" s="7">
        <v>50</v>
      </c>
      <c r="F2" s="7">
        <v>35</v>
      </c>
      <c r="G2" s="7">
        <v>93</v>
      </c>
      <c r="H2" s="7">
        <v>203</v>
      </c>
      <c r="I2" s="7">
        <v>1</v>
      </c>
      <c r="J2" s="7">
        <v>9</v>
      </c>
      <c r="K2" s="7">
        <v>57</v>
      </c>
      <c r="L2" s="7">
        <v>29</v>
      </c>
      <c r="M2" s="7">
        <v>6</v>
      </c>
      <c r="N2" s="7">
        <v>11</v>
      </c>
      <c r="O2" s="7">
        <v>12</v>
      </c>
      <c r="P2" s="7">
        <v>13</v>
      </c>
      <c r="Q2" s="7">
        <v>80</v>
      </c>
    </row>
    <row r="3" spans="1:17" x14ac:dyDescent="0.3">
      <c r="A3" t="s">
        <v>27</v>
      </c>
      <c r="B3" s="7">
        <v>5</v>
      </c>
      <c r="C3" s="7">
        <v>2</v>
      </c>
      <c r="D3" s="7">
        <v>25</v>
      </c>
      <c r="E3" s="7">
        <v>65</v>
      </c>
      <c r="F3" s="7">
        <v>25</v>
      </c>
      <c r="G3" s="7">
        <v>37</v>
      </c>
      <c r="H3" s="7">
        <v>5</v>
      </c>
      <c r="I3" s="7">
        <v>4</v>
      </c>
      <c r="J3" s="7">
        <v>20</v>
      </c>
      <c r="K3" s="7">
        <v>4</v>
      </c>
      <c r="L3" s="7">
        <v>19</v>
      </c>
      <c r="M3" s="7">
        <v>28</v>
      </c>
      <c r="N3" s="7">
        <v>4</v>
      </c>
      <c r="O3" s="7">
        <v>91</v>
      </c>
      <c r="P3" s="7">
        <v>163</v>
      </c>
      <c r="Q3" s="7">
        <v>35</v>
      </c>
    </row>
    <row r="4" spans="1:17" x14ac:dyDescent="0.3">
      <c r="A4" t="s">
        <v>58</v>
      </c>
      <c r="B4" s="7">
        <v>0</v>
      </c>
      <c r="C4" s="7">
        <v>0</v>
      </c>
      <c r="D4" s="7">
        <v>0</v>
      </c>
      <c r="E4" s="7">
        <v>36</v>
      </c>
      <c r="F4" s="7">
        <v>267</v>
      </c>
      <c r="G4" s="7">
        <v>0</v>
      </c>
      <c r="H4" s="7">
        <v>0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52</v>
      </c>
    </row>
    <row r="5" spans="1:17" x14ac:dyDescent="0.3">
      <c r="A5" t="s">
        <v>30</v>
      </c>
      <c r="B5" s="7">
        <v>7</v>
      </c>
      <c r="C5" s="7">
        <v>26</v>
      </c>
      <c r="D5" s="7">
        <v>9</v>
      </c>
      <c r="E5" s="7">
        <v>7</v>
      </c>
      <c r="F5" s="7">
        <v>22</v>
      </c>
      <c r="G5" s="7">
        <v>0</v>
      </c>
      <c r="H5" s="7">
        <v>1</v>
      </c>
      <c r="I5" s="7">
        <v>3</v>
      </c>
      <c r="J5" s="7">
        <v>6</v>
      </c>
      <c r="K5" s="7">
        <v>9</v>
      </c>
      <c r="L5" s="7">
        <v>13</v>
      </c>
      <c r="M5" s="7">
        <v>4</v>
      </c>
      <c r="N5" s="7">
        <v>2</v>
      </c>
      <c r="O5" s="7">
        <v>47</v>
      </c>
      <c r="P5" s="7">
        <v>3</v>
      </c>
      <c r="Q5" s="7">
        <v>58</v>
      </c>
    </row>
    <row r="6" spans="1:17" x14ac:dyDescent="0.3">
      <c r="A6" t="s">
        <v>42</v>
      </c>
      <c r="B6" s="7">
        <v>3</v>
      </c>
      <c r="C6" s="7">
        <v>0</v>
      </c>
      <c r="D6" s="7">
        <v>24</v>
      </c>
      <c r="E6" s="7">
        <v>6</v>
      </c>
      <c r="F6" s="7">
        <v>12</v>
      </c>
      <c r="G6" s="7">
        <v>5</v>
      </c>
      <c r="H6" s="7">
        <v>26</v>
      </c>
      <c r="I6" s="7">
        <v>1</v>
      </c>
      <c r="J6" s="7">
        <v>5</v>
      </c>
      <c r="K6" s="7">
        <v>27</v>
      </c>
      <c r="L6" s="7">
        <v>8</v>
      </c>
      <c r="M6" s="7">
        <v>54</v>
      </c>
      <c r="N6" s="7">
        <v>2</v>
      </c>
      <c r="O6" s="7">
        <v>1</v>
      </c>
      <c r="P6" s="7">
        <v>2</v>
      </c>
      <c r="Q6" s="7">
        <v>25</v>
      </c>
    </row>
    <row r="7" spans="1:17" x14ac:dyDescent="0.3">
      <c r="A7" t="s">
        <v>23</v>
      </c>
      <c r="B7" s="7">
        <v>9</v>
      </c>
      <c r="C7" s="7">
        <v>0</v>
      </c>
      <c r="D7" s="7">
        <v>62</v>
      </c>
      <c r="E7" s="7">
        <v>15</v>
      </c>
      <c r="F7" s="7">
        <v>13</v>
      </c>
      <c r="G7" s="7">
        <v>10</v>
      </c>
      <c r="H7" s="7">
        <v>0</v>
      </c>
      <c r="I7" s="7">
        <v>0</v>
      </c>
      <c r="J7" s="7">
        <v>3</v>
      </c>
      <c r="K7" s="7">
        <v>6</v>
      </c>
      <c r="L7" s="7">
        <v>0</v>
      </c>
      <c r="M7" s="7">
        <v>0</v>
      </c>
      <c r="N7" s="7">
        <v>1</v>
      </c>
      <c r="O7" s="7">
        <v>0</v>
      </c>
      <c r="P7" s="7">
        <v>0</v>
      </c>
      <c r="Q7" s="7">
        <v>8</v>
      </c>
    </row>
    <row r="8" spans="1:17" x14ac:dyDescent="0.3">
      <c r="A8" t="s">
        <v>25</v>
      </c>
      <c r="B8" s="7">
        <v>5</v>
      </c>
      <c r="C8" s="7">
        <v>0</v>
      </c>
      <c r="D8" s="7">
        <v>20</v>
      </c>
      <c r="E8" s="7">
        <v>13</v>
      </c>
      <c r="F8" s="7">
        <v>9</v>
      </c>
      <c r="G8" s="7">
        <v>3</v>
      </c>
      <c r="H8" s="7">
        <v>2</v>
      </c>
      <c r="I8" s="7">
        <v>0</v>
      </c>
      <c r="J8" s="7">
        <v>4</v>
      </c>
      <c r="K8" s="7">
        <v>11</v>
      </c>
      <c r="L8" s="7">
        <v>4</v>
      </c>
      <c r="M8" s="7">
        <v>3</v>
      </c>
      <c r="N8" s="7">
        <v>0</v>
      </c>
      <c r="O8" s="7">
        <v>0</v>
      </c>
      <c r="P8" s="7">
        <v>1</v>
      </c>
      <c r="Q8" s="7">
        <v>34</v>
      </c>
    </row>
    <row r="9" spans="1:17" x14ac:dyDescent="0.3">
      <c r="A9" t="s">
        <v>47</v>
      </c>
      <c r="B9" s="7">
        <v>0</v>
      </c>
      <c r="C9" s="7">
        <v>0</v>
      </c>
      <c r="D9" s="7">
        <v>1</v>
      </c>
      <c r="E9" s="7">
        <v>51</v>
      </c>
      <c r="F9" s="7">
        <v>16</v>
      </c>
      <c r="G9" s="7">
        <v>25</v>
      </c>
      <c r="H9" s="7">
        <v>3</v>
      </c>
      <c r="I9" s="7">
        <v>0</v>
      </c>
      <c r="J9" s="7">
        <v>3</v>
      </c>
      <c r="K9" s="7">
        <v>2</v>
      </c>
      <c r="L9" s="7">
        <v>1</v>
      </c>
      <c r="M9" s="7">
        <v>0</v>
      </c>
      <c r="N9" s="7">
        <v>0</v>
      </c>
      <c r="O9" s="7">
        <v>0</v>
      </c>
      <c r="P9" s="7">
        <v>0</v>
      </c>
      <c r="Q9" s="7">
        <v>4</v>
      </c>
    </row>
    <row r="10" spans="1:17" x14ac:dyDescent="0.3">
      <c r="A10" t="s">
        <v>19</v>
      </c>
      <c r="B10" s="7">
        <v>2</v>
      </c>
      <c r="C10" s="7">
        <v>0</v>
      </c>
      <c r="D10" s="7">
        <v>18</v>
      </c>
      <c r="E10" s="7">
        <v>4</v>
      </c>
      <c r="F10" s="7">
        <v>22</v>
      </c>
      <c r="G10" s="7">
        <v>33</v>
      </c>
      <c r="H10" s="7">
        <v>0</v>
      </c>
      <c r="I10" s="7">
        <v>0</v>
      </c>
      <c r="J10" s="7">
        <v>0</v>
      </c>
      <c r="K10" s="7">
        <v>1</v>
      </c>
      <c r="L10" s="7">
        <v>7</v>
      </c>
      <c r="M10" s="7">
        <v>1</v>
      </c>
      <c r="N10" s="7">
        <v>0</v>
      </c>
      <c r="O10" s="7">
        <v>0</v>
      </c>
      <c r="P10" s="7">
        <v>0</v>
      </c>
      <c r="Q10" s="7">
        <v>15</v>
      </c>
    </row>
    <row r="11" spans="1:17" x14ac:dyDescent="0.3">
      <c r="A11" t="s">
        <v>29</v>
      </c>
      <c r="B11" s="7">
        <v>4</v>
      </c>
      <c r="C11" s="7">
        <v>0</v>
      </c>
      <c r="D11" s="7">
        <v>58</v>
      </c>
      <c r="E11" s="7">
        <v>0</v>
      </c>
      <c r="F11" s="7">
        <v>0</v>
      </c>
      <c r="G11" s="7">
        <v>3</v>
      </c>
      <c r="H11" s="7">
        <v>0</v>
      </c>
      <c r="I11" s="7">
        <v>0</v>
      </c>
      <c r="J11" s="7">
        <v>0</v>
      </c>
      <c r="K11" s="7">
        <v>14</v>
      </c>
      <c r="L11" s="7">
        <v>7</v>
      </c>
      <c r="M11" s="7">
        <v>2</v>
      </c>
      <c r="N11" s="7">
        <v>0</v>
      </c>
      <c r="O11" s="7">
        <v>0</v>
      </c>
      <c r="P11" s="7">
        <v>0</v>
      </c>
      <c r="Q11" s="7">
        <v>2</v>
      </c>
    </row>
    <row r="12" spans="1:17" x14ac:dyDescent="0.3">
      <c r="A12" t="s">
        <v>36</v>
      </c>
      <c r="B12" s="7">
        <v>3</v>
      </c>
      <c r="C12" s="7">
        <v>0</v>
      </c>
      <c r="D12" s="7">
        <v>1</v>
      </c>
      <c r="E12" s="7">
        <v>5</v>
      </c>
      <c r="F12" s="7">
        <v>12</v>
      </c>
      <c r="G12" s="7">
        <v>3</v>
      </c>
      <c r="H12" s="7">
        <v>0</v>
      </c>
      <c r="I12" s="7">
        <v>1</v>
      </c>
      <c r="J12" s="7">
        <v>0</v>
      </c>
      <c r="K12" s="7">
        <v>3</v>
      </c>
      <c r="L12" s="7">
        <v>21</v>
      </c>
      <c r="M12" s="7">
        <v>2</v>
      </c>
      <c r="N12" s="7">
        <v>0</v>
      </c>
      <c r="O12" s="7">
        <v>0</v>
      </c>
      <c r="P12" s="7">
        <v>0</v>
      </c>
      <c r="Q12" s="7">
        <v>20</v>
      </c>
    </row>
    <row r="13" spans="1:17" x14ac:dyDescent="0.3">
      <c r="A13" t="s">
        <v>52</v>
      </c>
      <c r="B13" s="7">
        <v>0</v>
      </c>
      <c r="C13" s="7">
        <v>9</v>
      </c>
      <c r="D13" s="7">
        <v>0</v>
      </c>
      <c r="E13" s="7">
        <v>0</v>
      </c>
      <c r="F13" s="7">
        <v>40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14</v>
      </c>
    </row>
    <row r="14" spans="1:17" x14ac:dyDescent="0.3">
      <c r="A14" t="s">
        <v>24</v>
      </c>
      <c r="B14" s="7">
        <v>3</v>
      </c>
      <c r="C14" s="7">
        <v>0</v>
      </c>
      <c r="D14" s="7">
        <v>12</v>
      </c>
      <c r="E14" s="7">
        <v>6</v>
      </c>
      <c r="F14" s="7">
        <v>5</v>
      </c>
      <c r="G14" s="7">
        <v>16</v>
      </c>
      <c r="H14" s="7">
        <v>1</v>
      </c>
      <c r="I14" s="7">
        <v>0</v>
      </c>
      <c r="J14" s="7">
        <v>2</v>
      </c>
      <c r="K14" s="7">
        <v>4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13</v>
      </c>
    </row>
    <row r="15" spans="1:17" x14ac:dyDescent="0.3">
      <c r="A15" t="s">
        <v>51</v>
      </c>
      <c r="B15" s="7">
        <v>0</v>
      </c>
      <c r="C15" s="7">
        <v>5</v>
      </c>
      <c r="D15" s="7">
        <v>0</v>
      </c>
      <c r="E15" s="7">
        <v>2</v>
      </c>
      <c r="F15" s="7">
        <v>34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20</v>
      </c>
    </row>
    <row r="16" spans="1:17" x14ac:dyDescent="0.3">
      <c r="A16" t="s">
        <v>41</v>
      </c>
      <c r="B16" s="7">
        <v>0</v>
      </c>
      <c r="C16" s="7">
        <v>0</v>
      </c>
      <c r="D16" s="7">
        <v>18</v>
      </c>
      <c r="E16" s="7">
        <v>0</v>
      </c>
      <c r="F16" s="7">
        <v>2</v>
      </c>
      <c r="G16" s="7">
        <v>0</v>
      </c>
      <c r="H16" s="7">
        <v>3</v>
      </c>
      <c r="I16" s="7">
        <v>1</v>
      </c>
      <c r="J16" s="7">
        <v>3</v>
      </c>
      <c r="K16" s="7">
        <v>6</v>
      </c>
      <c r="L16" s="7">
        <v>2</v>
      </c>
      <c r="M16" s="7">
        <v>3</v>
      </c>
      <c r="N16" s="7">
        <v>2</v>
      </c>
      <c r="O16" s="7">
        <v>0</v>
      </c>
      <c r="P16" s="7">
        <v>1</v>
      </c>
      <c r="Q16" s="7">
        <v>14</v>
      </c>
    </row>
    <row r="17" spans="1:17" x14ac:dyDescent="0.3">
      <c r="A17" t="s">
        <v>34</v>
      </c>
      <c r="B17" s="7">
        <v>1</v>
      </c>
      <c r="C17" s="7">
        <v>0</v>
      </c>
      <c r="D17" s="7">
        <v>6</v>
      </c>
      <c r="E17" s="7">
        <v>0</v>
      </c>
      <c r="F17" s="7">
        <v>0</v>
      </c>
      <c r="G17" s="7">
        <v>0</v>
      </c>
      <c r="H17" s="7">
        <v>5</v>
      </c>
      <c r="I17" s="7">
        <v>0</v>
      </c>
      <c r="J17" s="7">
        <v>0</v>
      </c>
      <c r="K17" s="7">
        <v>14</v>
      </c>
      <c r="L17" s="7">
        <v>1</v>
      </c>
      <c r="M17" s="7">
        <v>9</v>
      </c>
      <c r="N17" s="7">
        <v>0</v>
      </c>
      <c r="O17" s="7">
        <v>0</v>
      </c>
      <c r="P17" s="7">
        <v>1</v>
      </c>
      <c r="Q17" s="7">
        <v>12</v>
      </c>
    </row>
    <row r="18" spans="1:17" x14ac:dyDescent="0.3">
      <c r="A18" t="s">
        <v>60</v>
      </c>
      <c r="B18" s="7">
        <v>5</v>
      </c>
      <c r="C18" s="7">
        <v>0</v>
      </c>
      <c r="D18" s="7">
        <v>4</v>
      </c>
      <c r="E18" s="7">
        <v>0</v>
      </c>
      <c r="F18" s="7">
        <v>6</v>
      </c>
      <c r="G18" s="7">
        <v>9</v>
      </c>
      <c r="H18" s="7">
        <v>0</v>
      </c>
      <c r="I18" s="7">
        <v>0</v>
      </c>
      <c r="J18" s="7">
        <v>0</v>
      </c>
      <c r="K18" s="7">
        <v>6</v>
      </c>
      <c r="L18" s="7">
        <v>2</v>
      </c>
      <c r="M18" s="7">
        <v>0</v>
      </c>
      <c r="N18" s="7">
        <v>0</v>
      </c>
      <c r="O18" s="7">
        <v>0</v>
      </c>
      <c r="P18" s="7">
        <v>0</v>
      </c>
      <c r="Q18" s="7">
        <v>13</v>
      </c>
    </row>
    <row r="19" spans="1:17" x14ac:dyDescent="0.3">
      <c r="A19" t="s">
        <v>46</v>
      </c>
      <c r="B19" s="7">
        <v>1</v>
      </c>
      <c r="C19" s="7">
        <v>1</v>
      </c>
      <c r="D19" s="7">
        <v>7</v>
      </c>
      <c r="E19" s="7">
        <v>0</v>
      </c>
      <c r="F19" s="7">
        <v>1</v>
      </c>
      <c r="G19" s="7">
        <v>5</v>
      </c>
      <c r="H19" s="7">
        <v>0</v>
      </c>
      <c r="I19" s="7">
        <v>0</v>
      </c>
      <c r="J19" s="7">
        <v>0</v>
      </c>
      <c r="K19" s="7">
        <v>0</v>
      </c>
      <c r="L19" s="7">
        <v>18</v>
      </c>
      <c r="M19" s="7">
        <v>0</v>
      </c>
      <c r="N19" s="7">
        <v>1</v>
      </c>
      <c r="O19" s="7">
        <v>0</v>
      </c>
      <c r="P19" s="7">
        <v>3</v>
      </c>
      <c r="Q19" s="7">
        <v>7</v>
      </c>
    </row>
    <row r="20" spans="1:17" x14ac:dyDescent="0.3">
      <c r="A20" t="s">
        <v>32</v>
      </c>
      <c r="B20" s="7">
        <v>0</v>
      </c>
      <c r="C20" s="7">
        <v>0</v>
      </c>
      <c r="D20" s="7">
        <v>5</v>
      </c>
      <c r="E20" s="7">
        <v>2</v>
      </c>
      <c r="F20" s="7">
        <v>2</v>
      </c>
      <c r="G20" s="7">
        <v>0</v>
      </c>
      <c r="H20" s="7">
        <v>0</v>
      </c>
      <c r="I20" s="7">
        <v>0</v>
      </c>
      <c r="J20" s="7">
        <v>2</v>
      </c>
      <c r="K20" s="7">
        <v>0</v>
      </c>
      <c r="L20" s="7">
        <v>3</v>
      </c>
      <c r="M20" s="7">
        <v>7</v>
      </c>
      <c r="N20" s="7">
        <v>1</v>
      </c>
      <c r="O20" s="7">
        <v>5</v>
      </c>
      <c r="P20" s="7">
        <v>5</v>
      </c>
      <c r="Q20" s="7">
        <v>10</v>
      </c>
    </row>
    <row r="21" spans="1:17" x14ac:dyDescent="0.3">
      <c r="A21" t="s">
        <v>56</v>
      </c>
      <c r="B21" s="7">
        <v>1</v>
      </c>
      <c r="C21" s="7">
        <v>5</v>
      </c>
      <c r="D21" s="7">
        <v>0</v>
      </c>
      <c r="E21" s="7">
        <v>2</v>
      </c>
      <c r="F21" s="7">
        <v>2</v>
      </c>
      <c r="G21" s="7">
        <v>0</v>
      </c>
      <c r="H21" s="7">
        <v>0</v>
      </c>
      <c r="I21" s="7">
        <v>0</v>
      </c>
      <c r="J21" s="7">
        <v>2</v>
      </c>
      <c r="K21" s="7">
        <v>0</v>
      </c>
      <c r="L21" s="7">
        <v>0</v>
      </c>
      <c r="M21" s="7">
        <v>1</v>
      </c>
      <c r="N21" s="7">
        <v>0</v>
      </c>
      <c r="O21" s="7">
        <v>1</v>
      </c>
      <c r="P21" s="7">
        <v>1</v>
      </c>
      <c r="Q21" s="7">
        <v>25</v>
      </c>
    </row>
    <row r="22" spans="1:17" x14ac:dyDescent="0.3">
      <c r="A22" t="s">
        <v>65</v>
      </c>
      <c r="B22" s="7">
        <v>0</v>
      </c>
      <c r="C22" s="7">
        <v>0</v>
      </c>
      <c r="D22" s="7">
        <v>3</v>
      </c>
      <c r="E22" s="7">
        <v>1</v>
      </c>
      <c r="F22" s="7">
        <v>5</v>
      </c>
      <c r="G22" s="7">
        <v>6</v>
      </c>
      <c r="H22" s="7">
        <v>3</v>
      </c>
      <c r="I22" s="7">
        <v>0</v>
      </c>
      <c r="J22" s="7">
        <v>0</v>
      </c>
      <c r="K22" s="7">
        <v>3</v>
      </c>
      <c r="L22" s="7">
        <v>0</v>
      </c>
      <c r="M22" s="7">
        <v>3</v>
      </c>
      <c r="N22" s="7">
        <v>1</v>
      </c>
      <c r="O22" s="7">
        <v>3</v>
      </c>
      <c r="P22" s="7">
        <v>0</v>
      </c>
      <c r="Q22" s="7">
        <v>9</v>
      </c>
    </row>
    <row r="23" spans="1:17" x14ac:dyDescent="0.3">
      <c r="A23" t="s">
        <v>55</v>
      </c>
      <c r="B23" s="7">
        <v>3</v>
      </c>
      <c r="C23" s="7">
        <v>0</v>
      </c>
      <c r="D23" s="7">
        <v>0</v>
      </c>
      <c r="E23" s="7">
        <v>4</v>
      </c>
      <c r="F23" s="7">
        <v>6</v>
      </c>
      <c r="G23" s="7">
        <v>2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1</v>
      </c>
      <c r="N23" s="7">
        <v>0</v>
      </c>
      <c r="O23" s="7">
        <v>2</v>
      </c>
      <c r="P23" s="7">
        <v>1</v>
      </c>
      <c r="Q23" s="7">
        <v>14</v>
      </c>
    </row>
    <row r="24" spans="1:17" x14ac:dyDescent="0.3">
      <c r="A24" t="s">
        <v>43</v>
      </c>
      <c r="B24" s="7">
        <v>0</v>
      </c>
      <c r="C24" s="7">
        <v>0</v>
      </c>
      <c r="D24" s="7">
        <v>0</v>
      </c>
      <c r="E24" s="7">
        <v>0</v>
      </c>
      <c r="F24" s="7">
        <v>7</v>
      </c>
      <c r="G24" s="7">
        <v>0</v>
      </c>
      <c r="H24" s="7">
        <v>0</v>
      </c>
      <c r="I24" s="7">
        <v>0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21</v>
      </c>
    </row>
    <row r="25" spans="1:17" x14ac:dyDescent="0.3">
      <c r="A25" t="s">
        <v>28</v>
      </c>
      <c r="B25" s="7">
        <v>0</v>
      </c>
      <c r="C25" s="7">
        <v>0</v>
      </c>
      <c r="D25" s="7">
        <v>0</v>
      </c>
      <c r="E25" s="7">
        <v>5</v>
      </c>
      <c r="F25" s="7">
        <v>1</v>
      </c>
      <c r="G25" s="7">
        <v>0</v>
      </c>
      <c r="H25" s="7">
        <v>0</v>
      </c>
      <c r="I25" s="7">
        <v>0</v>
      </c>
      <c r="J25" s="7">
        <v>1</v>
      </c>
      <c r="K25" s="7">
        <v>0</v>
      </c>
      <c r="L25" s="7">
        <v>1</v>
      </c>
      <c r="M25" s="7">
        <v>5</v>
      </c>
      <c r="N25" s="7">
        <v>0</v>
      </c>
      <c r="O25" s="7">
        <v>0</v>
      </c>
      <c r="P25" s="7">
        <v>0</v>
      </c>
      <c r="Q25" s="7">
        <v>10</v>
      </c>
    </row>
    <row r="26" spans="1:17" x14ac:dyDescent="0.3">
      <c r="A26" t="s">
        <v>39</v>
      </c>
      <c r="B26" s="7">
        <v>0</v>
      </c>
      <c r="C26" s="7">
        <v>0</v>
      </c>
      <c r="D26" s="7">
        <v>0</v>
      </c>
      <c r="E26" s="7">
        <v>12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1</v>
      </c>
      <c r="L26" s="7">
        <v>0</v>
      </c>
      <c r="M26" s="7">
        <v>2</v>
      </c>
      <c r="N26" s="7">
        <v>0</v>
      </c>
      <c r="O26" s="7">
        <v>0</v>
      </c>
      <c r="P26" s="7">
        <v>2</v>
      </c>
      <c r="Q26" s="7">
        <v>0</v>
      </c>
    </row>
    <row r="27" spans="1:17" x14ac:dyDescent="0.3">
      <c r="A27" t="s">
        <v>50</v>
      </c>
      <c r="B27" s="7">
        <v>0</v>
      </c>
      <c r="C27" s="7">
        <v>1</v>
      </c>
      <c r="D27" s="7">
        <v>0</v>
      </c>
      <c r="E27" s="7">
        <v>0</v>
      </c>
      <c r="F27" s="7">
        <v>11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5</v>
      </c>
    </row>
    <row r="28" spans="1:17" x14ac:dyDescent="0.3">
      <c r="A28" t="s">
        <v>15</v>
      </c>
      <c r="B28" s="7">
        <v>0</v>
      </c>
      <c r="C28" s="7">
        <v>0</v>
      </c>
      <c r="D28" s="7">
        <v>1</v>
      </c>
      <c r="E28" s="7">
        <v>0</v>
      </c>
      <c r="F28" s="7">
        <v>6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2</v>
      </c>
      <c r="M28" s="7">
        <v>0</v>
      </c>
      <c r="N28" s="7">
        <v>0</v>
      </c>
      <c r="O28" s="7">
        <v>0</v>
      </c>
      <c r="P28" s="7">
        <v>2</v>
      </c>
      <c r="Q28" s="7">
        <v>4</v>
      </c>
    </row>
    <row r="29" spans="1:17" x14ac:dyDescent="0.3">
      <c r="A29" t="s">
        <v>54</v>
      </c>
      <c r="B29" s="7">
        <v>0</v>
      </c>
      <c r="C29" s="7">
        <v>1</v>
      </c>
      <c r="D29" s="7">
        <v>5</v>
      </c>
      <c r="E29" s="7">
        <v>4</v>
      </c>
      <c r="F29" s="7">
        <v>2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1</v>
      </c>
      <c r="Q29" s="7">
        <v>2</v>
      </c>
    </row>
    <row r="30" spans="1:17" x14ac:dyDescent="0.3">
      <c r="A30" t="s">
        <v>44</v>
      </c>
      <c r="B30" s="7">
        <v>0</v>
      </c>
      <c r="C30" s="7">
        <v>3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10</v>
      </c>
    </row>
    <row r="31" spans="1:17" x14ac:dyDescent="0.3">
      <c r="A31" t="s">
        <v>59</v>
      </c>
      <c r="B31" s="7">
        <v>0</v>
      </c>
      <c r="C31" s="7">
        <v>0</v>
      </c>
      <c r="D31" s="7">
        <v>0</v>
      </c>
      <c r="E31" s="7">
        <v>1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11</v>
      </c>
    </row>
    <row r="32" spans="1:17" x14ac:dyDescent="0.3">
      <c r="A32" t="s">
        <v>64</v>
      </c>
      <c r="B32" s="7">
        <v>0</v>
      </c>
      <c r="C32" s="7">
        <v>1</v>
      </c>
      <c r="D32" s="7">
        <v>0</v>
      </c>
      <c r="E32" s="7">
        <v>1</v>
      </c>
      <c r="F32" s="7">
        <v>0</v>
      </c>
      <c r="G32" s="7">
        <v>1</v>
      </c>
      <c r="H32" s="7">
        <v>0</v>
      </c>
      <c r="I32" s="7">
        <v>0</v>
      </c>
      <c r="J32" s="7">
        <v>1</v>
      </c>
      <c r="K32" s="7">
        <v>0</v>
      </c>
      <c r="L32" s="7">
        <v>0</v>
      </c>
      <c r="M32" s="7">
        <v>0</v>
      </c>
      <c r="N32" s="7">
        <v>0</v>
      </c>
      <c r="O32" s="7">
        <v>2</v>
      </c>
      <c r="P32" s="7">
        <v>0</v>
      </c>
      <c r="Q32" s="7">
        <v>6</v>
      </c>
    </row>
    <row r="33" spans="1:17" x14ac:dyDescent="0.3">
      <c r="A33" t="s">
        <v>62</v>
      </c>
      <c r="B33" s="7">
        <v>0</v>
      </c>
      <c r="C33" s="7">
        <v>2</v>
      </c>
      <c r="D33" s="7">
        <v>2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1</v>
      </c>
      <c r="L33" s="7">
        <v>4</v>
      </c>
      <c r="M33" s="7">
        <v>0</v>
      </c>
      <c r="N33" s="7">
        <v>0</v>
      </c>
      <c r="O33" s="7">
        <v>1</v>
      </c>
      <c r="P33" s="7">
        <v>0</v>
      </c>
      <c r="Q33" s="7">
        <v>0</v>
      </c>
    </row>
    <row r="34" spans="1:17" x14ac:dyDescent="0.3">
      <c r="A34" t="s">
        <v>61</v>
      </c>
      <c r="B34" s="7">
        <v>2</v>
      </c>
      <c r="C34" s="7">
        <v>0</v>
      </c>
      <c r="D34" s="7">
        <v>0</v>
      </c>
      <c r="E34" s="7">
        <v>0</v>
      </c>
      <c r="F34" s="7">
        <v>2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4</v>
      </c>
    </row>
    <row r="35" spans="1:17" x14ac:dyDescent="0.3">
      <c r="A35" t="s">
        <v>63</v>
      </c>
      <c r="B35" s="7">
        <v>1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7</v>
      </c>
    </row>
    <row r="36" spans="1:17" x14ac:dyDescent="0.3">
      <c r="A36" t="s">
        <v>48</v>
      </c>
      <c r="B36" s="7">
        <v>2</v>
      </c>
      <c r="C36" s="7">
        <v>0</v>
      </c>
      <c r="D36" s="7">
        <v>0</v>
      </c>
      <c r="E36" s="7">
        <v>0</v>
      </c>
      <c r="F36" s="7">
        <v>0</v>
      </c>
      <c r="G36" s="7">
        <v>4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1</v>
      </c>
      <c r="Q36" s="7">
        <v>0</v>
      </c>
    </row>
    <row r="37" spans="1:17" x14ac:dyDescent="0.3">
      <c r="A37" t="s">
        <v>16</v>
      </c>
      <c r="B37" s="7">
        <v>0</v>
      </c>
      <c r="C37" s="7">
        <v>0</v>
      </c>
      <c r="D37" s="7">
        <v>0</v>
      </c>
      <c r="E37" s="7">
        <v>1</v>
      </c>
      <c r="F37" s="7">
        <v>2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3</v>
      </c>
    </row>
    <row r="38" spans="1:17" x14ac:dyDescent="0.3">
      <c r="A38" t="s">
        <v>18</v>
      </c>
      <c r="B38" s="7">
        <v>0</v>
      </c>
      <c r="C38" s="7">
        <v>0</v>
      </c>
      <c r="D38" s="7">
        <v>2</v>
      </c>
      <c r="E38" s="7">
        <v>1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1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2</v>
      </c>
    </row>
    <row r="39" spans="1:17" x14ac:dyDescent="0.3">
      <c r="A39" t="s">
        <v>33</v>
      </c>
      <c r="B39" s="7">
        <v>0</v>
      </c>
      <c r="C39" s="7">
        <v>0</v>
      </c>
      <c r="D39" s="7">
        <v>0</v>
      </c>
      <c r="E39" s="7">
        <v>1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5</v>
      </c>
    </row>
    <row r="40" spans="1:17" x14ac:dyDescent="0.3">
      <c r="A40" t="s">
        <v>35</v>
      </c>
      <c r="B40" s="7">
        <v>0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3</v>
      </c>
      <c r="P40" s="7">
        <v>2</v>
      </c>
      <c r="Q40" s="7">
        <v>0</v>
      </c>
    </row>
    <row r="41" spans="1:17" x14ac:dyDescent="0.3">
      <c r="A41" t="s">
        <v>49</v>
      </c>
      <c r="B41" s="7">
        <v>1</v>
      </c>
      <c r="C41" s="7">
        <v>1</v>
      </c>
      <c r="D41" s="7">
        <v>1</v>
      </c>
      <c r="E41" s="7">
        <v>0</v>
      </c>
      <c r="F41" s="7">
        <v>0</v>
      </c>
      <c r="G41" s="7">
        <v>0</v>
      </c>
      <c r="H41" s="7">
        <v>2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</row>
    <row r="42" spans="1:17" x14ac:dyDescent="0.3">
      <c r="A42" t="s">
        <v>40</v>
      </c>
      <c r="B42" s="7">
        <v>0</v>
      </c>
      <c r="C42" s="7">
        <v>0</v>
      </c>
      <c r="D42" s="7">
        <v>0</v>
      </c>
      <c r="E42" s="7">
        <v>0</v>
      </c>
      <c r="F42" s="7">
        <v>1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3</v>
      </c>
    </row>
    <row r="43" spans="1:17" x14ac:dyDescent="0.3">
      <c r="A43" t="s">
        <v>53</v>
      </c>
      <c r="B43" s="7">
        <v>1</v>
      </c>
      <c r="C43" s="7">
        <v>0</v>
      </c>
      <c r="D43" s="7">
        <v>0</v>
      </c>
      <c r="E43" s="7">
        <v>3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</row>
    <row r="44" spans="1:17" x14ac:dyDescent="0.3">
      <c r="A44" t="s">
        <v>37</v>
      </c>
      <c r="B44" s="7">
        <v>0</v>
      </c>
      <c r="C44" s="7">
        <v>2</v>
      </c>
      <c r="D44" s="7">
        <v>0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1</v>
      </c>
    </row>
    <row r="45" spans="1:17" x14ac:dyDescent="0.3">
      <c r="A45" t="s">
        <v>38</v>
      </c>
      <c r="B45" s="7">
        <v>0</v>
      </c>
      <c r="C45" s="7">
        <v>0</v>
      </c>
      <c r="D45" s="7">
        <v>0</v>
      </c>
      <c r="E45" s="7">
        <v>0</v>
      </c>
      <c r="F45" s="7">
        <v>3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</row>
    <row r="46" spans="1:17" x14ac:dyDescent="0.3">
      <c r="A46" t="s">
        <v>21</v>
      </c>
      <c r="B46" s="7">
        <v>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2</v>
      </c>
    </row>
    <row r="47" spans="1:17" x14ac:dyDescent="0.3">
      <c r="A47" t="s">
        <v>31</v>
      </c>
      <c r="B47" s="7">
        <v>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2</v>
      </c>
      <c r="N47" s="7">
        <v>0</v>
      </c>
      <c r="O47" s="7">
        <v>0</v>
      </c>
      <c r="P47" s="7">
        <v>0</v>
      </c>
      <c r="Q47" s="7">
        <v>0</v>
      </c>
    </row>
    <row r="48" spans="1:17" x14ac:dyDescent="0.3">
      <c r="A48" t="s">
        <v>45</v>
      </c>
      <c r="B48" s="7">
        <v>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2</v>
      </c>
    </row>
    <row r="49" spans="1:17" x14ac:dyDescent="0.3">
      <c r="A49" t="s">
        <v>17</v>
      </c>
      <c r="B49" s="7">
        <v>0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1</v>
      </c>
      <c r="P49" s="7">
        <v>0</v>
      </c>
      <c r="Q49" s="7">
        <v>0</v>
      </c>
    </row>
    <row r="50" spans="1:17" x14ac:dyDescent="0.3">
      <c r="A50" t="s">
        <v>20</v>
      </c>
      <c r="B50" s="7">
        <v>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1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</row>
    <row r="51" spans="1:17" x14ac:dyDescent="0.3">
      <c r="A51" t="s">
        <v>22</v>
      </c>
      <c r="B51" s="7">
        <v>0</v>
      </c>
      <c r="C51" s="7">
        <v>0</v>
      </c>
      <c r="D51" s="7">
        <v>0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1</v>
      </c>
    </row>
    <row r="52" spans="1:17" x14ac:dyDescent="0.3">
      <c r="A52" t="s">
        <v>26</v>
      </c>
      <c r="B52" s="7">
        <v>0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Species &amp; Habitats</vt:lpstr>
      <vt:lpstr>Species Binomial</vt:lpstr>
      <vt:lpstr>Specialist-Generalist</vt:lpstr>
      <vt:lpstr>Habitat Variables</vt:lpstr>
      <vt:lpstr>Best Fit Species</vt:lpstr>
      <vt:lpstr>Species &amp; Characteristics</vt:lpstr>
      <vt:lpstr>Sheet2</vt:lpstr>
      <vt:lpstr>NewVariables</vt:lpstr>
      <vt:lpstr>Char &amp; Abun</vt:lpstr>
      <vt:lpstr>Sheet1</vt:lpstr>
      <vt:lpstr>Diversity &amp; Evenness</vt:lpstr>
      <vt:lpstr>Similarity</vt:lpstr>
      <vt:lpstr>Land Use</vt:lpstr>
      <vt:lpstr>Tables</vt:lpstr>
      <vt:lpstr>Variable Comparison</vt:lpstr>
      <vt:lpstr>Sheet4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George Kaloyiannis</dc:creator>
  <cp:keywords/>
  <dc:description/>
  <cp:lastModifiedBy>George Kalo</cp:lastModifiedBy>
  <cp:revision/>
  <dcterms:created xsi:type="dcterms:W3CDTF">2022-06-04T18:14:02Z</dcterms:created>
  <dcterms:modified xsi:type="dcterms:W3CDTF">2023-01-23T13:25:00Z</dcterms:modified>
  <cp:category/>
  <cp:contentStatus/>
</cp:coreProperties>
</file>